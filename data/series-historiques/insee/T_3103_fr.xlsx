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U:\JKL\L-G410-CAP\Usuels.CAP\3 - Diffusion\01_Site_Insee\00_Donnees_Comptes\Mars et mai 2026\Mai\FR\"/>
    </mc:Choice>
  </mc:AlternateContent>
  <xr:revisionPtr revIDLastSave="0" documentId="13_ncr:1_{2E711DED-03A6-42DC-955B-A600851EC066}" xr6:coauthVersionLast="47" xr6:coauthVersionMax="47" xr10:uidLastSave="{00000000-0000-0000-0000-000000000000}"/>
  <bookViews>
    <workbookView xWindow="-120" yWindow="-120" windowWidth="29040" windowHeight="15720" tabRatio="500" xr2:uid="{00000000-000D-0000-FFFF-FFFF00000000}"/>
  </bookViews>
  <sheets>
    <sheet name="T_310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AE6" i="1" l="1"/>
  <c r="AD6" i="1"/>
</calcChain>
</file>

<file path=xl/sharedStrings.xml><?xml version="1.0" encoding="utf-8"?>
<sst xmlns="http://schemas.openxmlformats.org/spreadsheetml/2006/main" count="31" uniqueCount="16">
  <si>
    <t>3.103 Dette nette (*) des administrations publiques (S13) et autres actifs liquides détenus par les administrations publiques</t>
  </si>
  <si>
    <t xml:space="preserve"> </t>
  </si>
  <si>
    <t>Dette nette en milliards d'euros</t>
  </si>
  <si>
    <t>S13 - Ensemble des administrations publiques</t>
  </si>
  <si>
    <t>S1311 - Administration publique centrale</t>
  </si>
  <si>
    <t>S13111 - État</t>
  </si>
  <si>
    <t>S13112 - Organismes divers d'administration centrale</t>
  </si>
  <si>
    <t>S1313 - Administrations publiques locales</t>
  </si>
  <si>
    <t>S1314 - Administrations de sécurité sociale</t>
  </si>
  <si>
    <t>Dette nette en % du PIB</t>
  </si>
  <si>
    <t>Autres actifs liquides en milliards d'euros (**)</t>
  </si>
  <si>
    <t>Milliards d'euros et %</t>
  </si>
  <si>
    <t xml:space="preserve">(*) La dette publique nette est définie comme la différence entre la dette au sens de Maastricht et les actifs exigibles (dépôts, crédits, titres de créance) détenus par les administrations publiques sur les autres secteurs. </t>
  </si>
  <si>
    <t>Ces actifs sont évalués à leur valeur de marché.</t>
  </si>
  <si>
    <t>(**) Actions cotées (F511) et parts de fonds d'investissement (F52).</t>
  </si>
  <si>
    <t>Source : Comptes nationaux - Base 2020 - Insee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</si>
</sst>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 _€_-;[Red]&quot;- &quot;#,##0.0,\ _€_-;_-&quot; - &quot;_€_-;_-@_-"/>
    <numFmt numFmtId="165" formatCode="#,##0.0_ ;[Red]&quot;- &quot;#,##0.0\ "/>
    <numFmt numFmtId="166" formatCode="_-* #,##0.00_-;\-* #,##0.00_-;_-* \-??_-;_-@_-"/>
    <numFmt numFmtId="167" formatCode="_-[$€]* #,##0.00_-;\-[$€]* #,##0.00_-;_-[$€]* \-??_-;_-@_-"/>
    <numFmt numFmtId="168" formatCode="_-* #,##0.00&quot; €&quot;_-;\-* #,##0.00&quot; €&quot;_-;_-* \-??&quot; €&quot;_-;_-@_-"/>
    <numFmt numFmtId="169" formatCode="_-* #,##0.00\ [$€]_-;\-* #,##0.00\ [$€]_-;_-* \-??\ [$€]_-;_-@_-"/>
    <numFmt numFmtId="170" formatCode="_-\ #,##0.00&quot; €&quot;_-;[Red]&quot;- &quot;#,##0.00&quot; €&quot;_-;_-&quot; -&quot;??&quot; €&quot;_-;_-@_-"/>
    <numFmt numFmtId="171" formatCode="_-* #,##0.00\ _F_-;\-* #,##0.00\ _F_-;_-* \-??\ _F_-;_-@_-"/>
    <numFmt numFmtId="172" formatCode="#,##0.0_ ;[Red]\-#,##0.0\ "/>
    <numFmt numFmtId="173" formatCode="0\ %"/>
    <numFmt numFmtId="174" formatCode="#,##0.0"/>
    <numFmt numFmtId="175" formatCode="0.0%"/>
    <numFmt numFmtId="176" formatCode="0.0"/>
  </numFmts>
  <fonts count="33" x14ac:knownFonts="1">
    <font>
      <sz val="10"/>
      <name val="Arial"/>
      <charset val="1"/>
    </font>
    <font>
      <sz val="11"/>
      <color rgb="FF000000"/>
      <name val="Calibri"/>
      <family val="2"/>
      <charset val="1"/>
    </font>
    <font>
      <sz val="11"/>
      <color rgb="FFFFFFFF"/>
      <name val="Calibri"/>
      <family val="2"/>
      <charset val="1"/>
    </font>
    <font>
      <sz val="10"/>
      <name val="Arial"/>
      <family val="2"/>
      <charset val="1"/>
    </font>
    <font>
      <sz val="11"/>
      <color rgb="FF800080"/>
      <name val="Calibri"/>
      <family val="2"/>
      <charset val="1"/>
    </font>
    <font>
      <sz val="9"/>
      <name val="Arial"/>
      <family val="2"/>
      <charset val="1"/>
    </font>
    <font>
      <b/>
      <sz val="11"/>
      <color rgb="FFFF9900"/>
      <name val="Calibri"/>
      <family val="2"/>
      <charset val="1"/>
    </font>
    <font>
      <b/>
      <sz val="11"/>
      <color rgb="FFFFFFFF"/>
      <name val="Calibri"/>
      <family val="2"/>
      <charset val="1"/>
    </font>
    <font>
      <i/>
      <sz val="11"/>
      <color rgb="FF808080"/>
      <name val="Calibri"/>
      <family val="2"/>
      <charset val="1"/>
    </font>
    <font>
      <sz val="11"/>
      <color rgb="FF008000"/>
      <name val="Calibri"/>
      <family val="2"/>
      <charset val="1"/>
    </font>
    <font>
      <b/>
      <sz val="15"/>
      <color rgb="FF003366"/>
      <name val="Calibri"/>
      <family val="2"/>
      <charset val="1"/>
    </font>
    <font>
      <b/>
      <sz val="13"/>
      <color rgb="FF003366"/>
      <name val="Calibri"/>
      <family val="2"/>
      <charset val="1"/>
    </font>
    <font>
      <b/>
      <sz val="11"/>
      <color rgb="FF003366"/>
      <name val="Calibri"/>
      <family val="2"/>
      <charset val="1"/>
    </font>
    <font>
      <u/>
      <sz val="8"/>
      <color rgb="FF0000FF"/>
      <name val="Arial"/>
      <family val="2"/>
      <charset val="1"/>
    </font>
    <font>
      <sz val="11"/>
      <color rgb="FF333399"/>
      <name val="Calibri"/>
      <family val="2"/>
      <charset val="1"/>
    </font>
    <font>
      <b/>
      <sz val="9"/>
      <color rgb="FF008000"/>
      <name val="Arial"/>
      <family val="2"/>
      <charset val="1"/>
    </font>
    <font>
      <u/>
      <sz val="10"/>
      <color rgb="FF0000FF"/>
      <name val="Arial"/>
      <family val="2"/>
      <charset val="1"/>
    </font>
    <font>
      <u/>
      <sz val="9"/>
      <color rgb="FF0000FF"/>
      <name val="Arial"/>
      <family val="2"/>
      <charset val="1"/>
    </font>
    <font>
      <sz val="11"/>
      <color rgb="FFFF9900"/>
      <name val="Calibri"/>
      <family val="2"/>
      <charset val="1"/>
    </font>
    <font>
      <sz val="11"/>
      <color rgb="FF993300"/>
      <name val="Calibri"/>
      <family val="2"/>
      <charset val="1"/>
    </font>
    <font>
      <sz val="8"/>
      <name val="Arial"/>
      <family val="2"/>
      <charset val="1"/>
    </font>
    <font>
      <sz val="12"/>
      <name val="Arial"/>
      <family val="2"/>
      <charset val="1"/>
    </font>
    <font>
      <sz val="10"/>
      <name val="Times New Roman"/>
      <family val="1"/>
      <charset val="1"/>
    </font>
    <font>
      <sz val="10"/>
      <color rgb="FF000000"/>
      <name val="Arial"/>
      <family val="2"/>
      <charset val="1"/>
    </font>
    <font>
      <b/>
      <sz val="11"/>
      <color rgb="FF333333"/>
      <name val="Calibri"/>
      <family val="2"/>
      <charset val="1"/>
    </font>
    <font>
      <b/>
      <sz val="18"/>
      <color rgb="FF003366"/>
      <name val="Cambria"/>
      <family val="2"/>
      <charset val="1"/>
    </font>
    <font>
      <b/>
      <sz val="10"/>
      <name val="Arial"/>
      <family val="2"/>
      <charset val="1"/>
    </font>
    <font>
      <b/>
      <sz val="11"/>
      <name val="Arial"/>
      <family val="2"/>
      <charset val="1"/>
    </font>
    <font>
      <b/>
      <sz val="12"/>
      <name val="Arial"/>
      <family val="2"/>
      <charset val="1"/>
    </font>
    <font>
      <b/>
      <sz val="16"/>
      <name val="Arial"/>
      <family val="2"/>
      <charset val="1"/>
    </font>
    <font>
      <sz val="11"/>
      <color rgb="FFFF0000"/>
      <name val="Calibri"/>
      <family val="2"/>
      <charset val="1"/>
    </font>
    <font>
      <sz val="10"/>
      <name val="Arial"/>
      <family val="2"/>
    </font>
    <font>
      <sz val="10"/>
      <name val="Arial"/>
      <family val="2"/>
    </font>
  </fonts>
  <fills count="21">
    <fill>
      <patternFill patternType="none"/>
    </fill>
    <fill>
      <patternFill patternType="gray125"/>
    </fill>
    <fill>
      <patternFill patternType="solid">
        <fgColor rgb="FFCCCCFF"/>
        <bgColor rgb="FFC0C0C0"/>
      </patternFill>
    </fill>
    <fill>
      <patternFill patternType="solid">
        <fgColor rgb="FFFF99CC"/>
        <bgColor rgb="FFFF8080"/>
      </patternFill>
    </fill>
    <fill>
      <patternFill patternType="solid">
        <fgColor rgb="FFCCFFCC"/>
        <bgColor rgb="FFCCFFFF"/>
      </patternFill>
    </fill>
    <fill>
      <patternFill patternType="solid">
        <fgColor rgb="FFCC99FF"/>
        <bgColor rgb="FF9999FF"/>
      </patternFill>
    </fill>
    <fill>
      <patternFill patternType="solid">
        <fgColor rgb="FFCCFFFF"/>
        <bgColor rgb="FFCCFFFF"/>
      </patternFill>
    </fill>
    <fill>
      <patternFill patternType="solid">
        <fgColor rgb="FFFFCC99"/>
        <bgColor rgb="FFC0C0C0"/>
      </patternFill>
    </fill>
    <fill>
      <patternFill patternType="solid">
        <fgColor rgb="FF99CCFF"/>
        <bgColor rgb="FFCCCCFF"/>
      </patternFill>
    </fill>
    <fill>
      <patternFill patternType="solid">
        <fgColor rgb="FFFF8080"/>
        <bgColor rgb="FFFF99CC"/>
      </patternFill>
    </fill>
    <fill>
      <patternFill patternType="solid">
        <fgColor rgb="FF00FF00"/>
        <bgColor rgb="FF33CCCC"/>
      </patternFill>
    </fill>
    <fill>
      <patternFill patternType="solid">
        <fgColor rgb="FFFFCC00"/>
        <bgColor rgb="FFFFFF00"/>
      </patternFill>
    </fill>
    <fill>
      <patternFill patternType="solid">
        <fgColor rgb="FF0066CC"/>
        <bgColor rgb="FF008080"/>
      </patternFill>
    </fill>
    <fill>
      <patternFill patternType="solid">
        <fgColor rgb="FF800080"/>
        <bgColor rgb="FF800080"/>
      </patternFill>
    </fill>
    <fill>
      <patternFill patternType="solid">
        <fgColor rgb="FF33CCCC"/>
        <bgColor rgb="FF00CCFF"/>
      </patternFill>
    </fill>
    <fill>
      <patternFill patternType="solid">
        <fgColor rgb="FFFF9900"/>
        <bgColor rgb="FFFFCC00"/>
      </patternFill>
    </fill>
    <fill>
      <patternFill patternType="solid">
        <fgColor rgb="FFC0C0C0"/>
        <bgColor rgb="FFCCCCFF"/>
      </patternFill>
    </fill>
    <fill>
      <patternFill patternType="solid">
        <fgColor rgb="FF969696"/>
        <bgColor rgb="FF808080"/>
      </patternFill>
    </fill>
    <fill>
      <patternFill patternType="solid">
        <fgColor rgb="FFFFFFCC"/>
        <bgColor rgb="FFFFFFFF"/>
      </patternFill>
    </fill>
    <fill>
      <patternFill patternType="solid">
        <fgColor rgb="FFFFFF99"/>
        <bgColor rgb="FFFFFFCC"/>
      </patternFill>
    </fill>
    <fill>
      <patternFill patternType="solid">
        <fgColor rgb="FF00FFFF"/>
        <bgColor rgb="FF00FFFF"/>
      </patternFill>
    </fill>
  </fills>
  <borders count="13">
    <border>
      <left/>
      <right/>
      <top/>
      <bottom/>
      <diagonal/>
    </border>
    <border>
      <left style="hair">
        <color auto="1"/>
      </left>
      <right style="hair">
        <color auto="1"/>
      </right>
      <top style="hair">
        <color auto="1"/>
      </top>
      <bottom style="hair">
        <color auto="1"/>
      </bottom>
      <diagonal/>
    </border>
    <border>
      <left style="thin">
        <color rgb="FF808080"/>
      </left>
      <right style="thin">
        <color rgb="FF808080"/>
      </right>
      <top style="thin">
        <color rgb="FF808080"/>
      </top>
      <bottom style="thin">
        <color rgb="FF808080"/>
      </bottom>
      <diagonal/>
    </border>
    <border>
      <left style="double">
        <color rgb="FF333333"/>
      </left>
      <right style="double">
        <color rgb="FF333333"/>
      </right>
      <top style="double">
        <color rgb="FF333333"/>
      </top>
      <bottom style="double">
        <color rgb="FF333333"/>
      </bottom>
      <diagonal/>
    </border>
    <border>
      <left style="thin">
        <color rgb="FFC0C0C0"/>
      </left>
      <right style="thin">
        <color rgb="FFC0C0C0"/>
      </right>
      <top style="thin">
        <color rgb="FFC0C0C0"/>
      </top>
      <bottom style="thin">
        <color rgb="FFC0C0C0"/>
      </bottom>
      <diagonal/>
    </border>
    <border>
      <left style="hair">
        <color auto="1"/>
      </left>
      <right style="hair">
        <color auto="1"/>
      </right>
      <top style="dashed">
        <color auto="1"/>
      </top>
      <bottom style="dotted">
        <color auto="1"/>
      </bottom>
      <diagonal/>
    </border>
    <border>
      <left style="hair">
        <color auto="1"/>
      </left>
      <right style="hair">
        <color auto="1"/>
      </right>
      <top style="dotted">
        <color auto="1"/>
      </top>
      <bottom style="dotted">
        <color auto="1"/>
      </bottom>
      <diagonal/>
    </border>
    <border>
      <left/>
      <right/>
      <top/>
      <bottom style="thick">
        <color rgb="FF333399"/>
      </bottom>
      <diagonal/>
    </border>
    <border>
      <left/>
      <right/>
      <top/>
      <bottom style="thick">
        <color rgb="FFC0C0C0"/>
      </bottom>
      <diagonal/>
    </border>
    <border>
      <left/>
      <right/>
      <top/>
      <bottom style="medium">
        <color rgb="FF0066CC"/>
      </bottom>
      <diagonal/>
    </border>
    <border>
      <left/>
      <right/>
      <top/>
      <bottom style="double">
        <color rgb="FFFF9900"/>
      </bottom>
      <diagonal/>
    </border>
    <border>
      <left style="thin">
        <color rgb="FF333333"/>
      </left>
      <right style="thin">
        <color rgb="FF333333"/>
      </right>
      <top style="thin">
        <color rgb="FF333333"/>
      </top>
      <bottom style="thin">
        <color rgb="FF333333"/>
      </bottom>
      <diagonal/>
    </border>
    <border>
      <left/>
      <right/>
      <top style="hair">
        <color auto="1"/>
      </top>
      <bottom style="hair">
        <color auto="1"/>
      </bottom>
      <diagonal/>
    </border>
  </borders>
  <cellStyleXfs count="249">
    <xf numFmtId="0" fontId="0" fillId="0" borderId="0"/>
    <xf numFmtId="173" fontId="31" fillId="0" borderId="0" applyBorder="0" applyProtection="0"/>
    <xf numFmtId="0" fontId="1" fillId="2" borderId="0" applyBorder="0" applyProtection="0"/>
    <xf numFmtId="0" fontId="1" fillId="3" borderId="0" applyBorder="0" applyProtection="0"/>
    <xf numFmtId="0" fontId="1" fillId="4" borderId="0" applyBorder="0" applyProtection="0"/>
    <xf numFmtId="0" fontId="1" fillId="5" borderId="0" applyBorder="0" applyProtection="0"/>
    <xf numFmtId="0" fontId="1" fillId="6" borderId="0" applyBorder="0" applyProtection="0"/>
    <xf numFmtId="0" fontId="1" fillId="7" borderId="0" applyBorder="0" applyProtection="0"/>
    <xf numFmtId="0" fontId="1" fillId="8" borderId="0" applyBorder="0" applyProtection="0"/>
    <xf numFmtId="0" fontId="1" fillId="9" borderId="0" applyBorder="0" applyProtection="0"/>
    <xf numFmtId="0" fontId="1" fillId="10" borderId="0" applyBorder="0" applyProtection="0"/>
    <xf numFmtId="0" fontId="1" fillId="5" borderId="0" applyBorder="0" applyProtection="0"/>
    <xf numFmtId="0" fontId="1" fillId="8" borderId="0" applyBorder="0" applyProtection="0"/>
    <xf numFmtId="0" fontId="1" fillId="11" borderId="0" applyBorder="0" applyProtection="0"/>
    <xf numFmtId="0" fontId="2" fillId="12" borderId="0" applyBorder="0" applyProtection="0"/>
    <xf numFmtId="0" fontId="2" fillId="9" borderId="0" applyBorder="0" applyProtection="0"/>
    <xf numFmtId="0" fontId="2" fillId="10" borderId="0" applyBorder="0" applyProtection="0"/>
    <xf numFmtId="0" fontId="2" fillId="13" borderId="0" applyBorder="0" applyProtection="0"/>
    <xf numFmtId="0" fontId="2" fillId="14" borderId="0" applyBorder="0" applyProtection="0"/>
    <xf numFmtId="0" fontId="2" fillId="15" borderId="0" applyBorder="0" applyProtection="0"/>
    <xf numFmtId="164" fontId="31" fillId="0" borderId="0" applyBorder="0" applyProtection="0"/>
    <xf numFmtId="164" fontId="3" fillId="0" borderId="0" applyBorder="0" applyProtection="0"/>
    <xf numFmtId="164" fontId="31" fillId="0" borderId="0" applyBorder="0" applyProtection="0"/>
    <xf numFmtId="164" fontId="3" fillId="0" borderId="0" applyBorder="0" applyProtection="0"/>
    <xf numFmtId="164" fontId="3" fillId="0" borderId="0" applyBorder="0" applyProtection="0"/>
    <xf numFmtId="164" fontId="3" fillId="0" borderId="0" applyBorder="0" applyProtection="0"/>
    <xf numFmtId="164" fontId="3" fillId="0" borderId="0" applyBorder="0" applyProtection="0"/>
    <xf numFmtId="164" fontId="3" fillId="0" borderId="0" applyBorder="0" applyProtection="0"/>
    <xf numFmtId="164" fontId="31" fillId="0" borderId="0" applyBorder="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xf numFmtId="0" fontId="3" fillId="0" borderId="0"/>
    <xf numFmtId="0" fontId="3" fillId="0" borderId="0"/>
    <xf numFmtId="0" fontId="3" fillId="0" borderId="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xf numFmtId="0" fontId="3" fillId="0" borderId="0"/>
    <xf numFmtId="0" fontId="3" fillId="0" borderId="0"/>
    <xf numFmtId="0" fontId="3" fillId="0" borderId="0"/>
    <xf numFmtId="0" fontId="3" fillId="0" borderId="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xf numFmtId="0" fontId="3" fillId="0" borderId="0"/>
    <xf numFmtId="0" fontId="3" fillId="0" borderId="0"/>
    <xf numFmtId="0" fontId="3" fillId="0" borderId="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xf numFmtId="0" fontId="3" fillId="0" borderId="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3" fillId="0" borderId="0" applyBorder="0" applyProtection="0"/>
    <xf numFmtId="0" fontId="4" fillId="3" borderId="0" applyBorder="0" applyProtection="0"/>
    <xf numFmtId="0" fontId="4" fillId="3" borderId="0" applyBorder="0" applyProtection="0"/>
    <xf numFmtId="165" fontId="5" fillId="6" borderId="1">
      <alignment vertical="center"/>
    </xf>
    <xf numFmtId="0" fontId="6" fillId="16" borderId="2" applyProtection="0"/>
    <xf numFmtId="0" fontId="7" fillId="17" borderId="3" applyProtection="0"/>
    <xf numFmtId="166" fontId="3" fillId="0" borderId="0" applyBorder="0" applyProtection="0"/>
    <xf numFmtId="0" fontId="31" fillId="18" borderId="4" applyProtection="0"/>
    <xf numFmtId="14" fontId="31" fillId="0" borderId="0" applyBorder="0" applyProtection="0">
      <alignment horizontal="center" vertical="center"/>
    </xf>
    <xf numFmtId="14" fontId="31" fillId="0" borderId="0" applyBorder="0" applyProtection="0">
      <alignment horizontal="center" vertical="center"/>
    </xf>
    <xf numFmtId="14" fontId="3" fillId="0" borderId="0" applyBorder="0" applyProtection="0">
      <alignment horizontal="center" vertical="center"/>
    </xf>
    <xf numFmtId="167" fontId="31" fillId="0" borderId="0" applyBorder="0" applyProtection="0"/>
    <xf numFmtId="168" fontId="31" fillId="0" borderId="0" applyBorder="0" applyProtection="0"/>
    <xf numFmtId="169" fontId="31" fillId="0" borderId="0" applyBorder="0" applyProtection="0"/>
    <xf numFmtId="170" fontId="31" fillId="0" borderId="0" applyBorder="0" applyProtection="0"/>
    <xf numFmtId="167" fontId="3" fillId="0" borderId="0" applyBorder="0" applyProtection="0"/>
    <xf numFmtId="0" fontId="3" fillId="0" borderId="0"/>
    <xf numFmtId="0" fontId="8" fillId="0" borderId="0" applyBorder="0" applyProtection="0"/>
    <xf numFmtId="0" fontId="31" fillId="4" borderId="5"/>
    <xf numFmtId="0" fontId="31" fillId="4" borderId="6"/>
    <xf numFmtId="0" fontId="31" fillId="4" borderId="5"/>
    <xf numFmtId="0" fontId="9" fillId="4" borderId="0" applyBorder="0" applyProtection="0"/>
    <xf numFmtId="0" fontId="9" fillId="4" borderId="0" applyBorder="0" applyProtection="0"/>
    <xf numFmtId="0" fontId="10" fillId="0" borderId="7" applyProtection="0"/>
    <xf numFmtId="0" fontId="10" fillId="0" borderId="7" applyProtection="0"/>
    <xf numFmtId="0" fontId="11" fillId="0" borderId="8" applyProtection="0"/>
    <xf numFmtId="0" fontId="11" fillId="0" borderId="8" applyProtection="0"/>
    <xf numFmtId="0" fontId="12" fillId="0" borderId="9" applyProtection="0"/>
    <xf numFmtId="0" fontId="12" fillId="0" borderId="0" applyBorder="0" applyProtection="0"/>
    <xf numFmtId="0" fontId="13" fillId="0" borderId="0" applyBorder="0" applyProtection="0"/>
    <xf numFmtId="0" fontId="14" fillId="7" borderId="2" applyProtection="0"/>
    <xf numFmtId="0" fontId="31" fillId="19" borderId="1" applyProtection="0"/>
    <xf numFmtId="0" fontId="31" fillId="5" borderId="1"/>
    <xf numFmtId="165" fontId="15" fillId="19" borderId="1">
      <alignment vertical="center"/>
    </xf>
    <xf numFmtId="0" fontId="16" fillId="0" borderId="0" applyBorder="0" applyProtection="0"/>
    <xf numFmtId="0" fontId="17" fillId="0" borderId="0" applyBorder="0" applyProtection="0"/>
    <xf numFmtId="0" fontId="18" fillId="0" borderId="10" applyProtection="0"/>
    <xf numFmtId="171" fontId="31" fillId="0" borderId="0" applyBorder="0" applyProtection="0"/>
    <xf numFmtId="171" fontId="31" fillId="0" borderId="0" applyBorder="0" applyProtection="0"/>
    <xf numFmtId="164" fontId="31" fillId="0" borderId="0" applyBorder="0" applyProtection="0"/>
    <xf numFmtId="164" fontId="31" fillId="0" borderId="0" applyBorder="0" applyProtection="0"/>
    <xf numFmtId="0" fontId="3" fillId="0" borderId="0"/>
    <xf numFmtId="0" fontId="3" fillId="0" borderId="0"/>
    <xf numFmtId="172" fontId="5" fillId="0" borderId="0">
      <alignment vertical="center"/>
    </xf>
    <xf numFmtId="0" fontId="3" fillId="0" borderId="0"/>
    <xf numFmtId="0" fontId="19" fillId="19" borderId="0" applyBorder="0" applyProtection="0"/>
    <xf numFmtId="0" fontId="19" fillId="19" borderId="0" applyBorder="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20" fillId="0" borderId="0"/>
    <xf numFmtId="0" fontId="20" fillId="0" borderId="0"/>
    <xf numFmtId="0" fontId="20" fillId="0" borderId="0"/>
    <xf numFmtId="0" fontId="1" fillId="0" borderId="0"/>
    <xf numFmtId="0" fontId="1" fillId="0" borderId="0"/>
    <xf numFmtId="0" fontId="20" fillId="0" borderId="0"/>
    <xf numFmtId="0" fontId="3" fillId="0" borderId="0"/>
    <xf numFmtId="0" fontId="21" fillId="0" borderId="0"/>
    <xf numFmtId="0" fontId="3" fillId="0" borderId="0"/>
    <xf numFmtId="0" fontId="22" fillId="0" borderId="0"/>
    <xf numFmtId="0" fontId="3" fillId="0" borderId="0"/>
    <xf numFmtId="0" fontId="1" fillId="0" borderId="0"/>
    <xf numFmtId="0" fontId="23" fillId="0" borderId="0"/>
    <xf numFmtId="0" fontId="1"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18" borderId="4" applyProtection="0"/>
    <xf numFmtId="0" fontId="24" fillId="16" borderId="11" applyProtection="0"/>
    <xf numFmtId="173" fontId="31" fillId="0" borderId="0" applyBorder="0" applyProtection="0"/>
    <xf numFmtId="173" fontId="31" fillId="0" borderId="0" applyBorder="0" applyProtection="0"/>
    <xf numFmtId="173" fontId="3" fillId="0" borderId="0" applyBorder="0" applyProtection="0"/>
    <xf numFmtId="173" fontId="31" fillId="0" borderId="0" applyBorder="0" applyProtection="0"/>
    <xf numFmtId="0" fontId="23" fillId="0" borderId="0">
      <alignment vertical="top"/>
    </xf>
    <xf numFmtId="0" fontId="25" fillId="0" borderId="0" applyBorder="0" applyProtection="0"/>
    <xf numFmtId="0" fontId="26" fillId="20" borderId="0" applyBorder="0">
      <alignment vertical="center"/>
    </xf>
    <xf numFmtId="0" fontId="27" fillId="7" borderId="12">
      <alignment horizontal="center" vertical="center"/>
    </xf>
    <xf numFmtId="0" fontId="28" fillId="8" borderId="0" applyBorder="0">
      <alignment horizontal="center" vertical="center"/>
    </xf>
    <xf numFmtId="0" fontId="28" fillId="8" borderId="0" applyBorder="0">
      <alignment horizontal="center" vertical="center"/>
    </xf>
    <xf numFmtId="0" fontId="28" fillId="8" borderId="0" applyBorder="0">
      <alignment horizontal="center" vertical="center"/>
    </xf>
    <xf numFmtId="0" fontId="29" fillId="8" borderId="0" applyBorder="0">
      <alignment horizontal="center" vertical="center"/>
    </xf>
    <xf numFmtId="0" fontId="30" fillId="0" borderId="0" applyBorder="0" applyProtection="0"/>
  </cellStyleXfs>
  <cellXfs count="13">
    <xf numFmtId="0" fontId="0" fillId="0" borderId="0" xfId="0"/>
    <xf numFmtId="0" fontId="26" fillId="0" borderId="0" xfId="116" applyFont="1"/>
    <xf numFmtId="0" fontId="3" fillId="0" borderId="0" xfId="116" applyFont="1"/>
    <xf numFmtId="174" fontId="3" fillId="0" borderId="0" xfId="116" applyNumberFormat="1" applyFont="1"/>
    <xf numFmtId="174" fontId="3" fillId="0" borderId="0" xfId="116" applyNumberFormat="1" applyFont="1" applyAlignment="1">
      <alignment horizontal="right"/>
    </xf>
    <xf numFmtId="174" fontId="0" fillId="0" borderId="0" xfId="116" applyNumberFormat="1" applyFont="1"/>
    <xf numFmtId="174" fontId="0" fillId="0" borderId="0" xfId="141" applyNumberFormat="1" applyFont="1" applyBorder="1"/>
    <xf numFmtId="175" fontId="3" fillId="0" borderId="0" xfId="1" applyNumberFormat="1" applyFont="1" applyBorder="1" applyAlignment="1" applyProtection="1">
      <alignment horizontal="right"/>
    </xf>
    <xf numFmtId="175" fontId="3" fillId="0" borderId="0" xfId="116" applyNumberFormat="1" applyFont="1" applyAlignment="1">
      <alignment horizontal="right"/>
    </xf>
    <xf numFmtId="0" fontId="0" fillId="0" borderId="0" xfId="141" applyNumberFormat="1" applyFont="1"/>
    <xf numFmtId="174" fontId="0" fillId="0" borderId="0" xfId="116" applyNumberFormat="1" applyFont="1" applyBorder="1"/>
    <xf numFmtId="176" fontId="32" fillId="0" borderId="0" xfId="141" applyNumberFormat="1" applyFont="1" applyFill="1" applyBorder="1"/>
    <xf numFmtId="174" fontId="3" fillId="0" borderId="0" xfId="116" applyNumberFormat="1" applyFont="1" applyBorder="1" applyAlignment="1">
      <alignment horizontal="right"/>
    </xf>
  </cellXfs>
  <cellStyles count="249">
    <cellStyle name="_/1000,0" xfId="20" xr:uid="{00000000-0005-0000-0000-000018000000}"/>
    <cellStyle name="_/1000,0_Dette trimestrielle en millions" xfId="21" xr:uid="{00000000-0005-0000-0000-000019000000}"/>
    <cellStyle name="_/1000,0_Feuil1" xfId="22" xr:uid="{00000000-0005-0000-0000-00001A000000}"/>
    <cellStyle name="_/1000,0_Feuil1_1" xfId="23" xr:uid="{00000000-0005-0000-0000-00001B000000}"/>
    <cellStyle name="_/1000,0_Feuil1_Feuil4" xfId="24" xr:uid="{00000000-0005-0000-0000-00001C000000}"/>
    <cellStyle name="_/1000,0_Feuil4" xfId="25" xr:uid="{00000000-0005-0000-0000-00001D000000}"/>
    <cellStyle name="_/1000,0_PSD_S13" xfId="26" xr:uid="{00000000-0005-0000-0000-00001E000000}"/>
    <cellStyle name="_/1000,0_PSD_S13_1" xfId="28" xr:uid="{00000000-0005-0000-0000-000020000000}"/>
    <cellStyle name="_/1000,0_PSD_S1311" xfId="27" xr:uid="{00000000-0005-0000-0000-00001F000000}"/>
    <cellStyle name="_Feuil1" xfId="29" xr:uid="{00000000-0005-0000-0000-000021000000}"/>
    <cellStyle name="_Feuil1_Feuil1" xfId="30" xr:uid="{00000000-0005-0000-0000-000022000000}"/>
    <cellStyle name="_Feuil1_PSD_S13" xfId="31" xr:uid="{00000000-0005-0000-0000-000023000000}"/>
    <cellStyle name="_Feuil1_PSD_S1311" xfId="32" xr:uid="{00000000-0005-0000-0000-000024000000}"/>
    <cellStyle name="_Feuil2" xfId="33" xr:uid="{00000000-0005-0000-0000-000025000000}"/>
    <cellStyle name="_Feuil2_Feuil1" xfId="34" xr:uid="{00000000-0005-0000-0000-000026000000}"/>
    <cellStyle name="_Feuil2_PSD_S13" xfId="35" xr:uid="{00000000-0005-0000-0000-000027000000}"/>
    <cellStyle name="_Feuil2_PSD_S1311" xfId="36" xr:uid="{00000000-0005-0000-0000-000028000000}"/>
    <cellStyle name="_Feuil3" xfId="37" xr:uid="{00000000-0005-0000-0000-000029000000}"/>
    <cellStyle name="_Feuil3_Feuil1" xfId="38" xr:uid="{00000000-0005-0000-0000-00002A000000}"/>
    <cellStyle name="_Feuil3_PSD_S13" xfId="39" xr:uid="{00000000-0005-0000-0000-00002B000000}"/>
    <cellStyle name="_Feuil3_PSD_S1311" xfId="40" xr:uid="{00000000-0005-0000-0000-00002C000000}"/>
    <cellStyle name="_ODAC_Encours_negatifs" xfId="41" xr:uid="{00000000-0005-0000-0000-00002D000000}"/>
    <cellStyle name="_ODAC_Encours_negatifs_Feuil1" xfId="42" xr:uid="{00000000-0005-0000-0000-00002E000000}"/>
    <cellStyle name="_ODAC_Encours_negatifs_PSD_S13" xfId="43" xr:uid="{00000000-0005-0000-0000-00002F000000}"/>
    <cellStyle name="_ODAC_Encours_negatifs_PSD_S1311" xfId="44" xr:uid="{00000000-0005-0000-0000-000030000000}"/>
    <cellStyle name="_ODAC_ET5010" xfId="45" xr:uid="{00000000-0005-0000-0000-000031000000}"/>
    <cellStyle name="_ODAC_ET5010_Feuil1" xfId="46" xr:uid="{00000000-0005-0000-0000-000032000000}"/>
    <cellStyle name="_ODAC_ET5010_PSD_S13" xfId="47" xr:uid="{00000000-0005-0000-0000-000033000000}"/>
    <cellStyle name="_ODAC_ET5010_PSD_S1311" xfId="48" xr:uid="{00000000-0005-0000-0000-000034000000}"/>
    <cellStyle name="_RNF" xfId="49" xr:uid="{00000000-0005-0000-0000-000035000000}"/>
    <cellStyle name="_RNF_Feuil1" xfId="50" xr:uid="{00000000-0005-0000-0000-000036000000}"/>
    <cellStyle name="_RNF_PSD_S13" xfId="51" xr:uid="{00000000-0005-0000-0000-000037000000}"/>
    <cellStyle name="_RNF_PSD_S1311" xfId="52" xr:uid="{00000000-0005-0000-0000-000038000000}"/>
    <cellStyle name="_SECU_Encours_negatifs" xfId="53" xr:uid="{00000000-0005-0000-0000-000039000000}"/>
    <cellStyle name="_SECU_Encours_negatifs_Feuil1" xfId="54" xr:uid="{00000000-0005-0000-0000-00003A000000}"/>
    <cellStyle name="_SECU_Encours_negatifs_PSD_S13" xfId="55" xr:uid="{00000000-0005-0000-0000-00003B000000}"/>
    <cellStyle name="_SECU_Encours_negatifs_PSD_S1311" xfId="56" xr:uid="{00000000-0005-0000-0000-00003C000000}"/>
    <cellStyle name="_SECU_ET5010" xfId="57" xr:uid="{00000000-0005-0000-0000-00003D000000}"/>
    <cellStyle name="_SECU_ET5010_Feuil1" xfId="58" xr:uid="{00000000-0005-0000-0000-00003E000000}"/>
    <cellStyle name="_SECU_ET5010_PSD_S13" xfId="59" xr:uid="{00000000-0005-0000-0000-00003F000000}"/>
    <cellStyle name="_SECU_ET5010_PSD_S1311" xfId="60" xr:uid="{00000000-0005-0000-0000-000040000000}"/>
    <cellStyle name="_TCD" xfId="61" xr:uid="{00000000-0005-0000-0000-000041000000}"/>
    <cellStyle name="_TCD_Clé Etat" xfId="62" xr:uid="{00000000-0005-0000-0000-000042000000}"/>
    <cellStyle name="_TCD_Clé Etat_Feuil1" xfId="63" xr:uid="{00000000-0005-0000-0000-000043000000}"/>
    <cellStyle name="_TCD_Clé Etat_PSD_S13" xfId="64" xr:uid="{00000000-0005-0000-0000-000044000000}"/>
    <cellStyle name="_TCD_Clé Etat_PSD_S1311" xfId="65" xr:uid="{00000000-0005-0000-0000-000045000000}"/>
    <cellStyle name="_TCD_encours_negatifs" xfId="66" xr:uid="{00000000-0005-0000-0000-000046000000}"/>
    <cellStyle name="_TCD_encours_négatifs" xfId="70" xr:uid="{00000000-0005-0000-0000-00004A000000}"/>
    <cellStyle name="_TCD_encours_negatifs_Feuil1" xfId="67" xr:uid="{00000000-0005-0000-0000-000047000000}"/>
    <cellStyle name="_TCD_encours_négatifs_Feuil1" xfId="71" xr:uid="{00000000-0005-0000-0000-00004B000000}"/>
    <cellStyle name="_TCD_encours_negatifs_PSD_S13" xfId="68" xr:uid="{00000000-0005-0000-0000-000048000000}"/>
    <cellStyle name="_TCD_encours_négatifs_PSD_S13" xfId="72" xr:uid="{00000000-0005-0000-0000-00004C000000}"/>
    <cellStyle name="_TCD_encours_negatifs_PSD_S1311" xfId="69" xr:uid="{00000000-0005-0000-0000-000049000000}"/>
    <cellStyle name="_TCD_encours_négatifs_PSD_S1311" xfId="73" xr:uid="{00000000-0005-0000-0000-00004D000000}"/>
    <cellStyle name="_TCD_ET5010" xfId="74" xr:uid="{00000000-0005-0000-0000-00004E000000}"/>
    <cellStyle name="_TCD_ET5010_1" xfId="75" xr:uid="{00000000-0005-0000-0000-00004F000000}"/>
    <cellStyle name="_TCD_ET5010_1_Feuil1" xfId="76" xr:uid="{00000000-0005-0000-0000-000050000000}"/>
    <cellStyle name="_TCD_ET5010_1_PSD_S13" xfId="77" xr:uid="{00000000-0005-0000-0000-000051000000}"/>
    <cellStyle name="_TCD_ET5010_1_PSD_S1311" xfId="78" xr:uid="{00000000-0005-0000-0000-000052000000}"/>
    <cellStyle name="_TCD_ET5010_Feuil1" xfId="79" xr:uid="{00000000-0005-0000-0000-000053000000}"/>
    <cellStyle name="_TCD_ET5010_PSD_S13" xfId="80" xr:uid="{00000000-0005-0000-0000-000054000000}"/>
    <cellStyle name="_TCD_ET5010_PSD_S1311" xfId="81" xr:uid="{00000000-0005-0000-0000-000055000000}"/>
    <cellStyle name="_TCD_Feuil1" xfId="82" xr:uid="{00000000-0005-0000-0000-000056000000}"/>
    <cellStyle name="_TCD_Fonds" xfId="83" xr:uid="{00000000-0005-0000-0000-000057000000}"/>
    <cellStyle name="_TCD_Fonds_Feuil1" xfId="84" xr:uid="{00000000-0005-0000-0000-000058000000}"/>
    <cellStyle name="_TCD_Fonds_PSD_S13" xfId="85" xr:uid="{00000000-0005-0000-0000-000059000000}"/>
    <cellStyle name="_TCD_Fonds_PSD_S1311" xfId="86" xr:uid="{00000000-0005-0000-0000-00005A000000}"/>
    <cellStyle name="_TCD_PSD_S13" xfId="87" xr:uid="{00000000-0005-0000-0000-00005B000000}"/>
    <cellStyle name="_TCD_PSD_S1311" xfId="88" xr:uid="{00000000-0005-0000-0000-00005C000000}"/>
    <cellStyle name="_TCD_SI" xfId="89" xr:uid="{00000000-0005-0000-0000-00005D000000}"/>
    <cellStyle name="_TCD_SI_Feuil1" xfId="90" xr:uid="{00000000-0005-0000-0000-00005E000000}"/>
    <cellStyle name="_TCD_SI_PSD_S13" xfId="91" xr:uid="{00000000-0005-0000-0000-00005F000000}"/>
    <cellStyle name="_TCD_SI_PSD_S1311" xfId="92" xr:uid="{00000000-0005-0000-0000-000060000000}"/>
    <cellStyle name="_TCD_TOF_APUL" xfId="93" xr:uid="{00000000-0005-0000-0000-000061000000}"/>
    <cellStyle name="_TCD_TOF_APUL_Feuil1" xfId="94" xr:uid="{00000000-0005-0000-0000-000062000000}"/>
    <cellStyle name="_TCD_TOF_APUL_PSD_S13" xfId="95" xr:uid="{00000000-0005-0000-0000-000063000000}"/>
    <cellStyle name="_TCD_TOF_APUL_PSD_S1311" xfId="96" xr:uid="{00000000-0005-0000-0000-000064000000}"/>
    <cellStyle name="_TCD_TOF_ODAC" xfId="97" xr:uid="{00000000-0005-0000-0000-000065000000}"/>
    <cellStyle name="_TCD_TOF_ODAC_Feuil1" xfId="98" xr:uid="{00000000-0005-0000-0000-000066000000}"/>
    <cellStyle name="_TCD_TOF_ODAC_PSD_S13" xfId="99" xr:uid="{00000000-0005-0000-0000-000067000000}"/>
    <cellStyle name="_TCD_TOF_ODAC_PSD_S1311" xfId="100" xr:uid="{00000000-0005-0000-0000-000068000000}"/>
    <cellStyle name="20% - Accent1" xfId="2" xr:uid="{00000000-0005-0000-0000-000006000000}"/>
    <cellStyle name="20% - Accent2" xfId="3" xr:uid="{00000000-0005-0000-0000-000007000000}"/>
    <cellStyle name="20% - Accent3" xfId="4" xr:uid="{00000000-0005-0000-0000-000008000000}"/>
    <cellStyle name="20% - Accent4" xfId="5" xr:uid="{00000000-0005-0000-0000-000009000000}"/>
    <cellStyle name="20% - Accent5" xfId="6" xr:uid="{00000000-0005-0000-0000-00000A000000}"/>
    <cellStyle name="20% - Accent6" xfId="7" xr:uid="{00000000-0005-0000-0000-00000B000000}"/>
    <cellStyle name="40% - Accent1" xfId="8" xr:uid="{00000000-0005-0000-0000-00000C000000}"/>
    <cellStyle name="40% - Accent2" xfId="9" xr:uid="{00000000-0005-0000-0000-00000D000000}"/>
    <cellStyle name="40% - Accent3" xfId="10" xr:uid="{00000000-0005-0000-0000-00000E000000}"/>
    <cellStyle name="40% - Accent4" xfId="11" xr:uid="{00000000-0005-0000-0000-00000F000000}"/>
    <cellStyle name="40% - Accent5" xfId="12" xr:uid="{00000000-0005-0000-0000-000010000000}"/>
    <cellStyle name="40% - Accent6" xfId="13" xr:uid="{00000000-0005-0000-0000-000011000000}"/>
    <cellStyle name="60% - Accent1" xfId="14" xr:uid="{00000000-0005-0000-0000-000012000000}"/>
    <cellStyle name="60% - Accent2" xfId="15" xr:uid="{00000000-0005-0000-0000-000013000000}"/>
    <cellStyle name="60% - Accent3" xfId="16" xr:uid="{00000000-0005-0000-0000-000014000000}"/>
    <cellStyle name="60% - Accent4" xfId="17" xr:uid="{00000000-0005-0000-0000-000015000000}"/>
    <cellStyle name="60% - Accent5" xfId="18" xr:uid="{00000000-0005-0000-0000-000016000000}"/>
    <cellStyle name="60% - Accent6" xfId="19" xr:uid="{00000000-0005-0000-0000-000017000000}"/>
    <cellStyle name="Bad 1" xfId="101" xr:uid="{00000000-0005-0000-0000-000069000000}"/>
    <cellStyle name="Bad 2" xfId="102" xr:uid="{00000000-0005-0000-0000-00006A000000}"/>
    <cellStyle name="BUDECO" xfId="103" xr:uid="{00000000-0005-0000-0000-00006B000000}"/>
    <cellStyle name="Calculation" xfId="104" xr:uid="{00000000-0005-0000-0000-00006C000000}"/>
    <cellStyle name="Check Cell" xfId="105" xr:uid="{00000000-0005-0000-0000-00006D000000}"/>
    <cellStyle name="Comma 2" xfId="106" xr:uid="{00000000-0005-0000-0000-00006E000000}"/>
    <cellStyle name="Commentaire" xfId="107" xr:uid="{00000000-0005-0000-0000-00006F000000}"/>
    <cellStyle name="Date" xfId="108" xr:uid="{00000000-0005-0000-0000-000070000000}"/>
    <cellStyle name="Date 2" xfId="109" xr:uid="{00000000-0005-0000-0000-000071000000}"/>
    <cellStyle name="Date_Dette trimestrielle en millions" xfId="110" xr:uid="{00000000-0005-0000-0000-000072000000}"/>
    <cellStyle name="Euro" xfId="111" xr:uid="{00000000-0005-0000-0000-000073000000}"/>
    <cellStyle name="Euro 2" xfId="112" xr:uid="{00000000-0005-0000-0000-000074000000}"/>
    <cellStyle name="Euro 3" xfId="113" xr:uid="{00000000-0005-0000-0000-000075000000}"/>
    <cellStyle name="Euro 4" xfId="114" xr:uid="{00000000-0005-0000-0000-000076000000}"/>
    <cellStyle name="Euro_Dette trimestrielle en millions" xfId="115" xr:uid="{00000000-0005-0000-0000-000077000000}"/>
    <cellStyle name="Excel.Chart" xfId="116" xr:uid="{00000000-0005-0000-0000-000078000000}"/>
    <cellStyle name="Explanatory Text" xfId="117" xr:uid="{00000000-0005-0000-0000-000079000000}"/>
    <cellStyle name="Formule Interne" xfId="118" xr:uid="{00000000-0005-0000-0000-00007A000000}"/>
    <cellStyle name="Formule Interne 2" xfId="119" xr:uid="{00000000-0005-0000-0000-00007B000000}"/>
    <cellStyle name="Formule Interne_BEH2008 Synth" xfId="120" xr:uid="{00000000-0005-0000-0000-00007C000000}"/>
    <cellStyle name="Good 1" xfId="121" xr:uid="{00000000-0005-0000-0000-00007D000000}"/>
    <cellStyle name="Good 3" xfId="122" xr:uid="{00000000-0005-0000-0000-00007E000000}"/>
    <cellStyle name="Heading 1 1" xfId="123" xr:uid="{00000000-0005-0000-0000-00007F000000}"/>
    <cellStyle name="Heading 1 4" xfId="124" xr:uid="{00000000-0005-0000-0000-000080000000}"/>
    <cellStyle name="Heading 2 1" xfId="125" xr:uid="{00000000-0005-0000-0000-000081000000}"/>
    <cellStyle name="Heading 2 5" xfId="126" xr:uid="{00000000-0005-0000-0000-000082000000}"/>
    <cellStyle name="Heading 3" xfId="127" xr:uid="{00000000-0005-0000-0000-000083000000}"/>
    <cellStyle name="Heading 4" xfId="128" xr:uid="{00000000-0005-0000-0000-000084000000}"/>
    <cellStyle name="Hyperlink 2" xfId="129" xr:uid="{00000000-0005-0000-0000-000085000000}"/>
    <cellStyle name="Input" xfId="130" xr:uid="{00000000-0005-0000-0000-000086000000}"/>
    <cellStyle name="Liaison Externe" xfId="131" xr:uid="{00000000-0005-0000-0000-000087000000}"/>
    <cellStyle name="Liaison feuille" xfId="132" xr:uid="{00000000-0005-0000-0000-000088000000}"/>
    <cellStyle name="Liaison INDIA" xfId="133" xr:uid="{00000000-0005-0000-0000-000089000000}"/>
    <cellStyle name="Lien hypertexte 2" xfId="134" xr:uid="{00000000-0005-0000-0000-00008A000000}"/>
    <cellStyle name="Lien hypertexte 3" xfId="135" xr:uid="{00000000-0005-0000-0000-00008B000000}"/>
    <cellStyle name="Linked Cell" xfId="136" xr:uid="{00000000-0005-0000-0000-00008C000000}"/>
    <cellStyle name="Millième [1]" xfId="140" xr:uid="{00000000-0005-0000-0000-000090000000}"/>
    <cellStyle name="Milliers 2" xfId="137" xr:uid="{00000000-0005-0000-0000-00008D000000}"/>
    <cellStyle name="Milliers 3" xfId="138" xr:uid="{00000000-0005-0000-0000-00008E000000}"/>
    <cellStyle name="Millions [1]" xfId="139" xr:uid="{00000000-0005-0000-0000-00008F000000}"/>
    <cellStyle name="Motif" xfId="141" xr:uid="{00000000-0005-0000-0000-000091000000}"/>
    <cellStyle name="Motif 2" xfId="142" xr:uid="{00000000-0005-0000-0000-000092000000}"/>
    <cellStyle name="Motif 3" xfId="143" xr:uid="{00000000-0005-0000-0000-000093000000}"/>
    <cellStyle name="Motif_Clé de passage Etat" xfId="144" xr:uid="{00000000-0005-0000-0000-000094000000}"/>
    <cellStyle name="Neutral 1" xfId="145" xr:uid="{00000000-0005-0000-0000-000095000000}"/>
    <cellStyle name="Neutral 6" xfId="146" xr:uid="{00000000-0005-0000-0000-000096000000}"/>
    <cellStyle name="Normal" xfId="0" builtinId="0"/>
    <cellStyle name="Normal 10" xfId="147" xr:uid="{00000000-0005-0000-0000-000097000000}"/>
    <cellStyle name="Normal 10 2" xfId="148" xr:uid="{00000000-0005-0000-0000-000098000000}"/>
    <cellStyle name="Normal 10 2 2" xfId="149" xr:uid="{00000000-0005-0000-0000-000099000000}"/>
    <cellStyle name="Normal 10 2 2 2" xfId="150" xr:uid="{00000000-0005-0000-0000-00009A000000}"/>
    <cellStyle name="Normal 10 2 2_PSD_S11001" xfId="151" xr:uid="{00000000-0005-0000-0000-00009B000000}"/>
    <cellStyle name="Normal 10 2 3" xfId="152" xr:uid="{00000000-0005-0000-0000-00009C000000}"/>
    <cellStyle name="Normal 10 2_PSD_S11001" xfId="153" xr:uid="{00000000-0005-0000-0000-00009D000000}"/>
    <cellStyle name="Normal 10 3" xfId="154" xr:uid="{00000000-0005-0000-0000-00009E000000}"/>
    <cellStyle name="Normal 10 3 2" xfId="155" xr:uid="{00000000-0005-0000-0000-00009F000000}"/>
    <cellStyle name="Normal 10 3_PSD_S11001" xfId="156" xr:uid="{00000000-0005-0000-0000-0000A0000000}"/>
    <cellStyle name="Normal 10 4" xfId="157" xr:uid="{00000000-0005-0000-0000-0000A1000000}"/>
    <cellStyle name="Normal 10_PSD_S11001" xfId="158" xr:uid="{00000000-0005-0000-0000-0000A2000000}"/>
    <cellStyle name="Normal 11" xfId="159" xr:uid="{00000000-0005-0000-0000-0000A3000000}"/>
    <cellStyle name="Normal 11 2" xfId="160" xr:uid="{00000000-0005-0000-0000-0000A4000000}"/>
    <cellStyle name="Normal 12" xfId="161" xr:uid="{00000000-0005-0000-0000-0000A5000000}"/>
    <cellStyle name="Normal 12 2" xfId="162" xr:uid="{00000000-0005-0000-0000-0000A6000000}"/>
    <cellStyle name="Normal 13" xfId="163" xr:uid="{00000000-0005-0000-0000-0000A7000000}"/>
    <cellStyle name="Normal 14" xfId="164" xr:uid="{00000000-0005-0000-0000-0000A8000000}"/>
    <cellStyle name="Normal 15" xfId="165" xr:uid="{00000000-0005-0000-0000-0000A9000000}"/>
    <cellStyle name="Normal 16" xfId="166" xr:uid="{00000000-0005-0000-0000-0000AA000000}"/>
    <cellStyle name="Normal 17" xfId="167" xr:uid="{00000000-0005-0000-0000-0000AB000000}"/>
    <cellStyle name="Normal 18" xfId="168" xr:uid="{00000000-0005-0000-0000-0000AC000000}"/>
    <cellStyle name="Normal 2" xfId="169" xr:uid="{00000000-0005-0000-0000-0000AD000000}"/>
    <cellStyle name="Normal 2 2" xfId="170" xr:uid="{00000000-0005-0000-0000-0000AE000000}"/>
    <cellStyle name="Normal 2 3" xfId="171" xr:uid="{00000000-0005-0000-0000-0000AF000000}"/>
    <cellStyle name="Normal 2 4" xfId="172" xr:uid="{00000000-0005-0000-0000-0000B0000000}"/>
    <cellStyle name="Normal 2_décaissement 2015" xfId="173" xr:uid="{00000000-0005-0000-0000-0000B1000000}"/>
    <cellStyle name="Normal 3" xfId="174" xr:uid="{00000000-0005-0000-0000-0000B2000000}"/>
    <cellStyle name="Normal 3 2" xfId="175" xr:uid="{00000000-0005-0000-0000-0000B3000000}"/>
    <cellStyle name="Normal 3 2 2" xfId="176" xr:uid="{00000000-0005-0000-0000-0000B4000000}"/>
    <cellStyle name="Normal 3 3" xfId="177" xr:uid="{00000000-0005-0000-0000-0000B5000000}"/>
    <cellStyle name="Normal 3 3 2" xfId="178" xr:uid="{00000000-0005-0000-0000-0000B6000000}"/>
    <cellStyle name="Normal 3 3_PSD_S11001" xfId="179" xr:uid="{00000000-0005-0000-0000-0000B7000000}"/>
    <cellStyle name="Normal 3 4" xfId="180" xr:uid="{00000000-0005-0000-0000-0000B8000000}"/>
    <cellStyle name="Normal 3_Feuil1" xfId="181" xr:uid="{00000000-0005-0000-0000-0000B9000000}"/>
    <cellStyle name="Normal 4" xfId="182" xr:uid="{00000000-0005-0000-0000-0000BA000000}"/>
    <cellStyle name="Normal 4 2" xfId="183" xr:uid="{00000000-0005-0000-0000-0000BB000000}"/>
    <cellStyle name="Normal 4 2 2" xfId="184" xr:uid="{00000000-0005-0000-0000-0000BC000000}"/>
    <cellStyle name="Normal 4 2_PSD_S11001" xfId="185" xr:uid="{00000000-0005-0000-0000-0000BD000000}"/>
    <cellStyle name="Normal 4 3" xfId="186" xr:uid="{00000000-0005-0000-0000-0000BE000000}"/>
    <cellStyle name="Normal 4 3 2" xfId="187" xr:uid="{00000000-0005-0000-0000-0000BF000000}"/>
    <cellStyle name="Normal 4 3_PSD_S11001" xfId="188" xr:uid="{00000000-0005-0000-0000-0000C0000000}"/>
    <cellStyle name="Normal 4 4" xfId="189" xr:uid="{00000000-0005-0000-0000-0000C1000000}"/>
    <cellStyle name="Normal 4_PSD_S11001" xfId="190" xr:uid="{00000000-0005-0000-0000-0000C2000000}"/>
    <cellStyle name="Normal 5" xfId="191" xr:uid="{00000000-0005-0000-0000-0000C3000000}"/>
    <cellStyle name="Normal 5 2" xfId="192" xr:uid="{00000000-0005-0000-0000-0000C4000000}"/>
    <cellStyle name="Normal 5_PSD_S11001" xfId="193" xr:uid="{00000000-0005-0000-0000-0000C5000000}"/>
    <cellStyle name="Normal 6" xfId="194" xr:uid="{00000000-0005-0000-0000-0000C6000000}"/>
    <cellStyle name="Normal 6 2" xfId="195" xr:uid="{00000000-0005-0000-0000-0000C7000000}"/>
    <cellStyle name="Normal 6_S13111Bis" xfId="196" xr:uid="{00000000-0005-0000-0000-0000C8000000}"/>
    <cellStyle name="Normal 7" xfId="197" xr:uid="{00000000-0005-0000-0000-0000C9000000}"/>
    <cellStyle name="Normal 7 2" xfId="198" xr:uid="{00000000-0005-0000-0000-0000CA000000}"/>
    <cellStyle name="Normal 7 2 2" xfId="199" xr:uid="{00000000-0005-0000-0000-0000CB000000}"/>
    <cellStyle name="Normal 7 2 2 2" xfId="200" xr:uid="{00000000-0005-0000-0000-0000CC000000}"/>
    <cellStyle name="Normal 7 2 2_PSD_S11001" xfId="201" xr:uid="{00000000-0005-0000-0000-0000CD000000}"/>
    <cellStyle name="Normal 7 2 3" xfId="202" xr:uid="{00000000-0005-0000-0000-0000CE000000}"/>
    <cellStyle name="Normal 7 2_PSD_S11001" xfId="203" xr:uid="{00000000-0005-0000-0000-0000CF000000}"/>
    <cellStyle name="Normal 7 3" xfId="204" xr:uid="{00000000-0005-0000-0000-0000D0000000}"/>
    <cellStyle name="Normal 7 3 2" xfId="205" xr:uid="{00000000-0005-0000-0000-0000D1000000}"/>
    <cellStyle name="Normal 7 3_PSD_S11001" xfId="206" xr:uid="{00000000-0005-0000-0000-0000D2000000}"/>
    <cellStyle name="Normal 7 4" xfId="207" xr:uid="{00000000-0005-0000-0000-0000D3000000}"/>
    <cellStyle name="Normal 7 5" xfId="208" xr:uid="{00000000-0005-0000-0000-0000D4000000}"/>
    <cellStyle name="Normal 7_PSD_S11001" xfId="209" xr:uid="{00000000-0005-0000-0000-0000D5000000}"/>
    <cellStyle name="Normal 8" xfId="210" xr:uid="{00000000-0005-0000-0000-0000D6000000}"/>
    <cellStyle name="Normal 8 2" xfId="211" xr:uid="{00000000-0005-0000-0000-0000D7000000}"/>
    <cellStyle name="Normal 8 2 2" xfId="212" xr:uid="{00000000-0005-0000-0000-0000D8000000}"/>
    <cellStyle name="Normal 8 2 2 2" xfId="213" xr:uid="{00000000-0005-0000-0000-0000D9000000}"/>
    <cellStyle name="Normal 8 2 2_PSD_S11001" xfId="214" xr:uid="{00000000-0005-0000-0000-0000DA000000}"/>
    <cellStyle name="Normal 8 2 3" xfId="215" xr:uid="{00000000-0005-0000-0000-0000DB000000}"/>
    <cellStyle name="Normal 8 2_PSD_S11001" xfId="216" xr:uid="{00000000-0005-0000-0000-0000DC000000}"/>
    <cellStyle name="Normal 8 3" xfId="217" xr:uid="{00000000-0005-0000-0000-0000DD000000}"/>
    <cellStyle name="Normal 8 3 2" xfId="218" xr:uid="{00000000-0005-0000-0000-0000DE000000}"/>
    <cellStyle name="Normal 8 3_PSD_S11001" xfId="219" xr:uid="{00000000-0005-0000-0000-0000DF000000}"/>
    <cellStyle name="Normal 8 4" xfId="220" xr:uid="{00000000-0005-0000-0000-0000E0000000}"/>
    <cellStyle name="Normal 8_PSD_S11001" xfId="221" xr:uid="{00000000-0005-0000-0000-0000E1000000}"/>
    <cellStyle name="Normal 9" xfId="222" xr:uid="{00000000-0005-0000-0000-0000E2000000}"/>
    <cellStyle name="Normal 9 2" xfId="223" xr:uid="{00000000-0005-0000-0000-0000E3000000}"/>
    <cellStyle name="Normal 9 2 2" xfId="224" xr:uid="{00000000-0005-0000-0000-0000E4000000}"/>
    <cellStyle name="Normal 9 2 2 2" xfId="225" xr:uid="{00000000-0005-0000-0000-0000E5000000}"/>
    <cellStyle name="Normal 9 2 2_PSD_S11001" xfId="226" xr:uid="{00000000-0005-0000-0000-0000E6000000}"/>
    <cellStyle name="Normal 9 2 3" xfId="227" xr:uid="{00000000-0005-0000-0000-0000E7000000}"/>
    <cellStyle name="Normal 9 2_PSD_S11001" xfId="228" xr:uid="{00000000-0005-0000-0000-0000E8000000}"/>
    <cellStyle name="Normal 9 3" xfId="229" xr:uid="{00000000-0005-0000-0000-0000E9000000}"/>
    <cellStyle name="Normal 9 3 2" xfId="230" xr:uid="{00000000-0005-0000-0000-0000EA000000}"/>
    <cellStyle name="Normal 9 3_PSD_S11001" xfId="231" xr:uid="{00000000-0005-0000-0000-0000EB000000}"/>
    <cellStyle name="Normal 9 4" xfId="232" xr:uid="{00000000-0005-0000-0000-0000EC000000}"/>
    <cellStyle name="Normal 9_PSD_S11001" xfId="233" xr:uid="{00000000-0005-0000-0000-0000ED000000}"/>
    <cellStyle name="Note 1" xfId="234" xr:uid="{00000000-0005-0000-0000-0000EE000000}"/>
    <cellStyle name="Output" xfId="235" xr:uid="{00000000-0005-0000-0000-0000EF000000}"/>
    <cellStyle name="Pourcentage" xfId="1" builtinId="5"/>
    <cellStyle name="Pourcentage 2" xfId="236" xr:uid="{00000000-0005-0000-0000-0000F0000000}"/>
    <cellStyle name="Pourcentage 2 2" xfId="237" xr:uid="{00000000-0005-0000-0000-0000F1000000}"/>
    <cellStyle name="Pourcentage 2_Dette trimestrielle en millions" xfId="238" xr:uid="{00000000-0005-0000-0000-0000F2000000}"/>
    <cellStyle name="Pourcentage 3" xfId="239" xr:uid="{00000000-0005-0000-0000-0000F3000000}"/>
    <cellStyle name="Style 1" xfId="240" xr:uid="{00000000-0005-0000-0000-0000F4000000}"/>
    <cellStyle name="Title" xfId="241" xr:uid="{00000000-0005-0000-0000-0000F5000000}"/>
    <cellStyle name="Titre10" xfId="242" xr:uid="{00000000-0005-0000-0000-0000F6000000}"/>
    <cellStyle name="Titre11" xfId="243" xr:uid="{00000000-0005-0000-0000-0000F7000000}"/>
    <cellStyle name="Titre12" xfId="244" xr:uid="{00000000-0005-0000-0000-0000F8000000}"/>
    <cellStyle name="Titre12 2" xfId="245" xr:uid="{00000000-0005-0000-0000-0000F9000000}"/>
    <cellStyle name="Titre12_Dette trimestrielle en millions" xfId="246" xr:uid="{00000000-0005-0000-0000-0000FA000000}"/>
    <cellStyle name="Titre16" xfId="247" xr:uid="{00000000-0005-0000-0000-0000FB000000}"/>
    <cellStyle name="Warning Text" xfId="248" xr:uid="{00000000-0005-0000-0000-0000F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38"/>
  <sheetViews>
    <sheetView showZeros="0" tabSelected="1" zoomScaleNormal="100" workbookViewId="0">
      <pane xSplit="2" ySplit="3" topLeftCell="Z4" activePane="bottomRight" state="frozen"/>
      <selection pane="topRight" activeCell="V1" sqref="V1"/>
      <selection pane="bottomLeft" activeCell="A4" sqref="A4"/>
      <selection pane="bottomRight" activeCell="B32" sqref="B32"/>
    </sheetView>
  </sheetViews>
  <sheetFormatPr baseColWidth="10" defaultColWidth="10.6640625" defaultRowHeight="13.2" x14ac:dyDescent="0.25"/>
  <cols>
    <col min="1" max="1" width="8.6640625" customWidth="1"/>
    <col min="2" max="2" width="50.6640625" customWidth="1"/>
  </cols>
  <sheetData>
    <row r="1" spans="1:68" s="2" customFormat="1" x14ac:dyDescent="0.25">
      <c r="A1" s="1" t="s">
        <v>0</v>
      </c>
    </row>
    <row r="2" spans="1:68" s="2" customFormat="1" x14ac:dyDescent="0.25"/>
    <row r="3" spans="1:68" s="2" customFormat="1" x14ac:dyDescent="0.25">
      <c r="B3" s="2" t="s">
        <v>1</v>
      </c>
      <c r="C3" s="1">
        <v>1995</v>
      </c>
      <c r="D3" s="1">
        <v>1996</v>
      </c>
      <c r="E3" s="1">
        <v>1997</v>
      </c>
      <c r="F3" s="1">
        <v>1998</v>
      </c>
      <c r="G3" s="1">
        <v>1999</v>
      </c>
      <c r="H3" s="1">
        <v>2000</v>
      </c>
      <c r="I3" s="1">
        <v>2001</v>
      </c>
      <c r="J3" s="1">
        <v>2002</v>
      </c>
      <c r="K3" s="1">
        <v>2003</v>
      </c>
      <c r="L3" s="1">
        <v>2004</v>
      </c>
      <c r="M3" s="1">
        <v>2005</v>
      </c>
      <c r="N3" s="1">
        <v>2006</v>
      </c>
      <c r="O3" s="1">
        <v>2007</v>
      </c>
      <c r="P3" s="1">
        <v>2008</v>
      </c>
      <c r="Q3" s="1">
        <v>2009</v>
      </c>
      <c r="R3" s="1">
        <v>2010</v>
      </c>
      <c r="S3" s="1">
        <v>2011</v>
      </c>
      <c r="T3" s="1">
        <v>2012</v>
      </c>
      <c r="U3" s="1">
        <v>2013</v>
      </c>
      <c r="V3" s="1">
        <v>2014</v>
      </c>
      <c r="W3" s="1">
        <v>2015</v>
      </c>
      <c r="X3" s="1">
        <v>2016</v>
      </c>
      <c r="Y3" s="1">
        <v>2017</v>
      </c>
      <c r="Z3" s="1">
        <v>2018</v>
      </c>
      <c r="AA3" s="1">
        <v>2019</v>
      </c>
      <c r="AB3" s="1">
        <v>2020</v>
      </c>
      <c r="AC3" s="1">
        <v>2021</v>
      </c>
      <c r="AD3" s="1">
        <v>2022</v>
      </c>
      <c r="AE3" s="1">
        <v>2023</v>
      </c>
      <c r="AF3" s="1">
        <v>2024</v>
      </c>
      <c r="AG3" s="1">
        <v>2025</v>
      </c>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s="4" customFormat="1" x14ac:dyDescent="0.25">
      <c r="A4" s="2"/>
      <c r="B4" s="3" t="s">
        <v>1</v>
      </c>
      <c r="U4"/>
      <c r="V4"/>
      <c r="W4"/>
      <c r="Y4"/>
      <c r="Z4"/>
      <c r="AA4"/>
      <c r="AB4"/>
      <c r="AC4"/>
      <c r="AD4"/>
      <c r="AE4"/>
      <c r="AF4"/>
      <c r="AG4"/>
    </row>
    <row r="5" spans="1:68" s="4" customFormat="1" x14ac:dyDescent="0.25">
      <c r="A5" s="2"/>
      <c r="B5" s="5" t="s">
        <v>2</v>
      </c>
    </row>
    <row r="6" spans="1:68" s="4" customFormat="1" x14ac:dyDescent="0.25">
      <c r="A6" s="2"/>
      <c r="B6" s="3" t="s">
        <v>3</v>
      </c>
      <c r="C6" s="6">
        <v>567.79999999999995</v>
      </c>
      <c r="D6" s="6">
        <v>625.29999999999995</v>
      </c>
      <c r="E6" s="6">
        <v>659.8</v>
      </c>
      <c r="F6" s="6">
        <v>694.8</v>
      </c>
      <c r="G6" s="6">
        <v>719.5</v>
      </c>
      <c r="H6" s="6">
        <v>746.4</v>
      </c>
      <c r="I6" s="6">
        <v>774.6</v>
      </c>
      <c r="J6" s="6">
        <v>825.8</v>
      </c>
      <c r="K6" s="6">
        <v>910.7</v>
      </c>
      <c r="L6" s="6">
        <v>979.4</v>
      </c>
      <c r="M6" s="6">
        <v>1054.2</v>
      </c>
      <c r="N6" s="6">
        <v>1087.3</v>
      </c>
      <c r="O6" s="6">
        <v>1144.4000000000001</v>
      </c>
      <c r="P6" s="6">
        <v>1224</v>
      </c>
      <c r="Q6" s="6">
        <v>1383.8</v>
      </c>
      <c r="R6" s="6">
        <v>1504.1</v>
      </c>
      <c r="S6" s="6">
        <v>1611.5</v>
      </c>
      <c r="T6" s="6">
        <v>1712.7</v>
      </c>
      <c r="U6" s="6">
        <v>1802.6</v>
      </c>
      <c r="V6" s="9">
        <v>1888.1</v>
      </c>
      <c r="W6" s="6">
        <v>1950.9</v>
      </c>
      <c r="X6" s="6">
        <v>2005.8</v>
      </c>
      <c r="Y6" s="6">
        <v>2050.1</v>
      </c>
      <c r="Z6" s="6">
        <v>2106.1999999999998</v>
      </c>
      <c r="AA6" s="6">
        <v>2164.4</v>
      </c>
      <c r="AB6" s="6">
        <v>2355.5</v>
      </c>
      <c r="AC6" s="6">
        <v>2521.5</v>
      </c>
      <c r="AD6" s="6">
        <f>SUM(AD8:AD11)</f>
        <v>2682.6</v>
      </c>
      <c r="AE6" s="6">
        <f t="shared" ref="AE6" si="0">SUM(AE8:AE11)</f>
        <v>2873.7999999999997</v>
      </c>
      <c r="AF6" s="6">
        <v>3067.8</v>
      </c>
      <c r="AG6" s="6">
        <v>3245.5</v>
      </c>
    </row>
    <row r="7" spans="1:68" s="4" customFormat="1" x14ac:dyDescent="0.25">
      <c r="A7" s="2"/>
      <c r="B7" s="3" t="s">
        <v>4</v>
      </c>
      <c r="C7" s="6">
        <v>478.4</v>
      </c>
      <c r="D7" s="6">
        <v>525</v>
      </c>
      <c r="E7" s="6">
        <v>562.20000000000005</v>
      </c>
      <c r="F7" s="6">
        <v>595.4</v>
      </c>
      <c r="G7" s="6">
        <v>624.70000000000005</v>
      </c>
      <c r="H7" s="6">
        <v>652.70000000000005</v>
      </c>
      <c r="I7" s="6">
        <v>689.9</v>
      </c>
      <c r="J7" s="6">
        <v>732.4</v>
      </c>
      <c r="K7" s="6">
        <v>805.6</v>
      </c>
      <c r="L7" s="6">
        <v>840</v>
      </c>
      <c r="M7" s="6">
        <v>883.5</v>
      </c>
      <c r="N7" s="6">
        <v>905.6</v>
      </c>
      <c r="O7" s="6">
        <v>950.4</v>
      </c>
      <c r="P7" s="6">
        <v>1028.5</v>
      </c>
      <c r="Q7" s="6">
        <v>1145.0999999999999</v>
      </c>
      <c r="R7" s="6">
        <v>1240.2</v>
      </c>
      <c r="S7" s="6">
        <v>1319.6</v>
      </c>
      <c r="T7" s="6">
        <v>1395.1</v>
      </c>
      <c r="U7" s="6">
        <v>1476.3999999999999</v>
      </c>
      <c r="V7" s="6">
        <v>1561</v>
      </c>
      <c r="W7" s="6">
        <v>1610.1000000000001</v>
      </c>
      <c r="X7" s="6">
        <v>1661.1</v>
      </c>
      <c r="Y7" s="6">
        <v>1700.2</v>
      </c>
      <c r="Z7" s="6">
        <v>1767.3999999999999</v>
      </c>
      <c r="AA7" s="6">
        <v>1833.5</v>
      </c>
      <c r="AB7" s="6">
        <v>1935.6</v>
      </c>
      <c r="AC7" s="6">
        <v>2080.5</v>
      </c>
      <c r="AD7" s="6">
        <v>2245.1</v>
      </c>
      <c r="AE7" s="6">
        <v>2445.2999999999997</v>
      </c>
      <c r="AF7" s="6">
        <v>2611.9</v>
      </c>
      <c r="AG7" s="6">
        <v>2764.7000000000003</v>
      </c>
    </row>
    <row r="8" spans="1:68" s="4" customFormat="1" x14ac:dyDescent="0.25">
      <c r="A8" s="2"/>
      <c r="B8" s="3" t="s">
        <v>5</v>
      </c>
      <c r="C8" s="6">
        <v>441.1</v>
      </c>
      <c r="D8" s="6">
        <v>485.4</v>
      </c>
      <c r="E8" s="6">
        <v>521.1</v>
      </c>
      <c r="F8" s="6">
        <v>554.79999999999995</v>
      </c>
      <c r="G8" s="6">
        <v>585.9</v>
      </c>
      <c r="H8" s="6">
        <v>615.70000000000005</v>
      </c>
      <c r="I8" s="6">
        <v>652.20000000000005</v>
      </c>
      <c r="J8" s="6">
        <v>695.4</v>
      </c>
      <c r="K8" s="6">
        <v>759.4</v>
      </c>
      <c r="L8" s="6">
        <v>793.7</v>
      </c>
      <c r="M8" s="6">
        <v>837</v>
      </c>
      <c r="N8" s="6">
        <v>862.5</v>
      </c>
      <c r="O8" s="6">
        <v>900.4</v>
      </c>
      <c r="P8" s="6">
        <v>998.8</v>
      </c>
      <c r="Q8" s="6">
        <v>1103.2</v>
      </c>
      <c r="R8" s="6">
        <v>1200.4000000000001</v>
      </c>
      <c r="S8" s="6">
        <v>1280.2</v>
      </c>
      <c r="T8" s="6">
        <v>1356.1</v>
      </c>
      <c r="U8" s="6">
        <v>1435.1</v>
      </c>
      <c r="V8" s="6">
        <v>1515.9</v>
      </c>
      <c r="W8" s="6">
        <v>1564.2</v>
      </c>
      <c r="X8" s="6">
        <v>1615.5</v>
      </c>
      <c r="Y8" s="6">
        <v>1666.5</v>
      </c>
      <c r="Z8" s="6">
        <v>1730.6</v>
      </c>
      <c r="AA8" s="6">
        <v>1793.7</v>
      </c>
      <c r="AB8" s="6">
        <v>1898.1</v>
      </c>
      <c r="AC8" s="6">
        <v>2037.4</v>
      </c>
      <c r="AD8" s="6">
        <v>2205.1</v>
      </c>
      <c r="AE8" s="6">
        <v>2406.6</v>
      </c>
      <c r="AF8" s="4">
        <v>2575.1</v>
      </c>
      <c r="AG8" s="4">
        <v>2727.3</v>
      </c>
    </row>
    <row r="9" spans="1:68" s="4" customFormat="1" x14ac:dyDescent="0.25">
      <c r="A9" s="2"/>
      <c r="B9" s="3" t="s">
        <v>6</v>
      </c>
      <c r="C9" s="6">
        <v>37.299999999999997</v>
      </c>
      <c r="D9" s="6">
        <v>39.5</v>
      </c>
      <c r="E9" s="6">
        <v>41</v>
      </c>
      <c r="F9" s="6">
        <v>40.6</v>
      </c>
      <c r="G9" s="6">
        <v>38.799999999999997</v>
      </c>
      <c r="H9" s="6">
        <v>37</v>
      </c>
      <c r="I9" s="6">
        <v>37.6</v>
      </c>
      <c r="J9" s="6">
        <v>37</v>
      </c>
      <c r="K9" s="6">
        <v>46.2</v>
      </c>
      <c r="L9" s="6">
        <v>46.3</v>
      </c>
      <c r="M9" s="6">
        <v>46.6</v>
      </c>
      <c r="N9" s="6">
        <v>43.1</v>
      </c>
      <c r="O9" s="6">
        <v>50</v>
      </c>
      <c r="P9" s="6">
        <v>29.8</v>
      </c>
      <c r="Q9" s="6">
        <v>41.9</v>
      </c>
      <c r="R9" s="6">
        <v>39.799999999999997</v>
      </c>
      <c r="S9" s="6">
        <v>39.4</v>
      </c>
      <c r="T9" s="6">
        <v>38.9</v>
      </c>
      <c r="U9" s="6">
        <v>41.3</v>
      </c>
      <c r="V9" s="6">
        <v>45.1</v>
      </c>
      <c r="W9" s="6">
        <v>45.9</v>
      </c>
      <c r="X9" s="6">
        <v>45.6</v>
      </c>
      <c r="Y9" s="6">
        <v>33.700000000000003</v>
      </c>
      <c r="Z9" s="6">
        <v>36.799999999999997</v>
      </c>
      <c r="AA9" s="6">
        <v>39.799999999999997</v>
      </c>
      <c r="AB9" s="6">
        <v>37.5</v>
      </c>
      <c r="AC9" s="6">
        <v>43.1</v>
      </c>
      <c r="AD9" s="6">
        <v>40</v>
      </c>
      <c r="AE9" s="6">
        <v>38.700000000000003</v>
      </c>
      <c r="AF9" s="4">
        <v>36.799999999999997</v>
      </c>
      <c r="AG9" s="4">
        <v>37.4</v>
      </c>
    </row>
    <row r="10" spans="1:68" s="4" customFormat="1" x14ac:dyDescent="0.25">
      <c r="A10" s="2"/>
      <c r="B10" s="3" t="s">
        <v>7</v>
      </c>
      <c r="C10" s="6">
        <v>94.9</v>
      </c>
      <c r="D10" s="6">
        <v>96.8</v>
      </c>
      <c r="E10" s="6">
        <v>93.4</v>
      </c>
      <c r="F10" s="6">
        <v>91.4</v>
      </c>
      <c r="G10" s="6">
        <v>89.7</v>
      </c>
      <c r="H10" s="6">
        <v>89</v>
      </c>
      <c r="I10" s="6">
        <v>89.2</v>
      </c>
      <c r="J10" s="6">
        <v>89.7</v>
      </c>
      <c r="K10" s="6">
        <v>94.4</v>
      </c>
      <c r="L10" s="6">
        <v>98.4</v>
      </c>
      <c r="M10" s="6">
        <v>107.2</v>
      </c>
      <c r="N10" s="6">
        <v>116.5</v>
      </c>
      <c r="O10" s="6">
        <v>126.2</v>
      </c>
      <c r="P10" s="6">
        <v>137.69999999999999</v>
      </c>
      <c r="Q10" s="6">
        <v>146.69999999999999</v>
      </c>
      <c r="R10" s="6">
        <v>152.19999999999999</v>
      </c>
      <c r="S10" s="6">
        <v>157.5</v>
      </c>
      <c r="T10" s="6">
        <v>164.3</v>
      </c>
      <c r="U10" s="6">
        <v>171.2</v>
      </c>
      <c r="V10" s="6">
        <v>176.7</v>
      </c>
      <c r="W10" s="6">
        <v>184.9</v>
      </c>
      <c r="X10" s="6">
        <v>188</v>
      </c>
      <c r="Y10" s="6">
        <v>189.1</v>
      </c>
      <c r="Z10" s="6">
        <v>193.1</v>
      </c>
      <c r="AA10" s="6">
        <v>197.3</v>
      </c>
      <c r="AB10" s="6">
        <v>215.6</v>
      </c>
      <c r="AC10" s="6">
        <v>230.3</v>
      </c>
      <c r="AD10" s="6">
        <v>230.3</v>
      </c>
      <c r="AE10" s="6">
        <v>235.3</v>
      </c>
      <c r="AF10" s="4">
        <v>248.9</v>
      </c>
      <c r="AG10" s="4">
        <v>261.39999999999998</v>
      </c>
    </row>
    <row r="11" spans="1:68" s="4" customFormat="1" x14ac:dyDescent="0.25">
      <c r="A11" s="2"/>
      <c r="B11" s="3" t="s">
        <v>8</v>
      </c>
      <c r="C11" s="6">
        <v>-5.5</v>
      </c>
      <c r="D11" s="6">
        <v>3.4</v>
      </c>
      <c r="E11" s="6">
        <v>4.2</v>
      </c>
      <c r="F11" s="6">
        <v>8</v>
      </c>
      <c r="G11" s="6">
        <v>5.0999999999999996</v>
      </c>
      <c r="H11" s="6">
        <v>4.5999999999999996</v>
      </c>
      <c r="I11" s="6">
        <v>-4.5</v>
      </c>
      <c r="J11" s="6">
        <v>3.8</v>
      </c>
      <c r="K11" s="6">
        <v>10.7</v>
      </c>
      <c r="L11" s="6">
        <v>41</v>
      </c>
      <c r="M11" s="6">
        <v>63.5</v>
      </c>
      <c r="N11" s="6">
        <v>65.3</v>
      </c>
      <c r="O11" s="6">
        <v>67.8</v>
      </c>
      <c r="P11" s="6">
        <v>57.8</v>
      </c>
      <c r="Q11" s="6">
        <v>91.9</v>
      </c>
      <c r="R11" s="6">
        <v>111.6</v>
      </c>
      <c r="S11" s="6">
        <v>134.30000000000001</v>
      </c>
      <c r="T11" s="6">
        <v>153.4</v>
      </c>
      <c r="U11" s="6">
        <v>155</v>
      </c>
      <c r="V11" s="6">
        <v>150.5</v>
      </c>
      <c r="W11" s="6">
        <v>155.9</v>
      </c>
      <c r="X11" s="6">
        <v>156.69999999999999</v>
      </c>
      <c r="Y11" s="6">
        <v>160.9</v>
      </c>
      <c r="Z11" s="6">
        <v>145.6</v>
      </c>
      <c r="AA11" s="6">
        <v>133.6</v>
      </c>
      <c r="AB11" s="6">
        <v>204.2</v>
      </c>
      <c r="AC11" s="6">
        <v>210.8</v>
      </c>
      <c r="AD11" s="6">
        <v>207.2</v>
      </c>
      <c r="AE11" s="6">
        <v>193.2</v>
      </c>
      <c r="AF11" s="4">
        <v>206.9</v>
      </c>
      <c r="AG11" s="4">
        <v>219.5</v>
      </c>
    </row>
    <row r="12" spans="1:68" s="4" customFormat="1" x14ac:dyDescent="0.25">
      <c r="A12" s="2"/>
      <c r="B12" s="3" t="s">
        <v>1</v>
      </c>
    </row>
    <row r="13" spans="1:68" s="4" customFormat="1" x14ac:dyDescent="0.25">
      <c r="A13" s="2"/>
      <c r="B13" s="3" t="s">
        <v>9</v>
      </c>
    </row>
    <row r="14" spans="1:68" s="4" customFormat="1" x14ac:dyDescent="0.25">
      <c r="A14" s="2"/>
      <c r="B14" s="3" t="s">
        <v>3</v>
      </c>
      <c r="C14" s="6">
        <v>46.6</v>
      </c>
      <c r="D14" s="6">
        <v>49.9</v>
      </c>
      <c r="E14" s="6">
        <v>51</v>
      </c>
      <c r="F14" s="6">
        <v>51.4</v>
      </c>
      <c r="G14" s="6">
        <v>51.4</v>
      </c>
      <c r="H14" s="6">
        <v>50.5</v>
      </c>
      <c r="I14" s="6">
        <v>50.4</v>
      </c>
      <c r="J14" s="6">
        <v>52</v>
      </c>
      <c r="K14" s="6">
        <v>55.8</v>
      </c>
      <c r="L14" s="6">
        <v>57.5</v>
      </c>
      <c r="M14" s="6">
        <v>59.7</v>
      </c>
      <c r="N14" s="6">
        <v>58.8</v>
      </c>
      <c r="O14" s="6">
        <v>58.9</v>
      </c>
      <c r="P14" s="6">
        <v>61.4</v>
      </c>
      <c r="Q14" s="6">
        <v>71.5</v>
      </c>
      <c r="R14" s="6">
        <v>75.400000000000006</v>
      </c>
      <c r="S14" s="6">
        <v>78.3</v>
      </c>
      <c r="T14" s="6">
        <v>82</v>
      </c>
      <c r="U14" s="4">
        <v>85.014186323780208</v>
      </c>
      <c r="V14" s="4">
        <v>87.666391330773124</v>
      </c>
      <c r="W14" s="4">
        <v>88.620797110205217</v>
      </c>
      <c r="X14" s="4">
        <v>89.872879476337459</v>
      </c>
      <c r="Y14" s="4">
        <v>89.458349569595413</v>
      </c>
      <c r="Z14" s="4">
        <v>89.421460726011219</v>
      </c>
      <c r="AA14" s="4">
        <v>88.989136204278665</v>
      </c>
      <c r="AB14" s="4">
        <v>101.60567594194997</v>
      </c>
      <c r="AC14" s="4">
        <v>100.5341767758037</v>
      </c>
      <c r="AD14" s="4">
        <v>101.07772532691443</v>
      </c>
      <c r="AE14" s="4">
        <v>101.4</v>
      </c>
      <c r="AF14" s="4">
        <v>104.5</v>
      </c>
      <c r="AG14" s="4">
        <v>108.5</v>
      </c>
    </row>
    <row r="15" spans="1:68" s="4" customFormat="1" x14ac:dyDescent="0.25">
      <c r="A15" s="2"/>
      <c r="B15" s="3" t="s">
        <v>4</v>
      </c>
      <c r="C15" s="6">
        <v>39.299999999999997</v>
      </c>
      <c r="D15" s="6">
        <v>41.9</v>
      </c>
      <c r="E15" s="6">
        <v>43.5</v>
      </c>
      <c r="F15" s="6">
        <v>44</v>
      </c>
      <c r="G15" s="6">
        <v>44.6</v>
      </c>
      <c r="H15" s="6">
        <v>44.1</v>
      </c>
      <c r="I15" s="6">
        <v>44.8</v>
      </c>
      <c r="J15" s="6">
        <v>46.1</v>
      </c>
      <c r="K15" s="6">
        <v>49.4</v>
      </c>
      <c r="L15" s="6">
        <v>49.3</v>
      </c>
      <c r="M15" s="6">
        <v>50</v>
      </c>
      <c r="N15" s="6">
        <v>49</v>
      </c>
      <c r="O15" s="6">
        <v>49</v>
      </c>
      <c r="P15" s="6">
        <v>51.6</v>
      </c>
      <c r="Q15" s="6">
        <v>59.1</v>
      </c>
      <c r="R15" s="6">
        <v>62.2</v>
      </c>
      <c r="S15" s="6">
        <v>64.099999999999994</v>
      </c>
      <c r="T15" s="6">
        <v>66.8</v>
      </c>
      <c r="U15" s="4">
        <v>69.629948235010033</v>
      </c>
      <c r="V15" s="4">
        <v>72.478807725934459</v>
      </c>
      <c r="W15" s="4">
        <v>73.139753666072806</v>
      </c>
      <c r="X15" s="4">
        <v>74.428078621070981</v>
      </c>
      <c r="Y15" s="4">
        <v>74.190081429308876</v>
      </c>
      <c r="Z15" s="4">
        <v>75.037266018019309</v>
      </c>
      <c r="AA15" s="4">
        <v>75.384208663160663</v>
      </c>
      <c r="AB15" s="4">
        <v>83.493078477282253</v>
      </c>
      <c r="AC15" s="4">
        <v>82.951161920309175</v>
      </c>
      <c r="AD15" s="4">
        <v>84.593156315311859</v>
      </c>
      <c r="AE15" s="4">
        <v>86.289701625999612</v>
      </c>
      <c r="AF15" s="4">
        <v>88.984326984269757</v>
      </c>
      <c r="AG15" s="4">
        <v>92.318747614561971</v>
      </c>
    </row>
    <row r="16" spans="1:68" s="4" customFormat="1" x14ac:dyDescent="0.25">
      <c r="A16" s="2"/>
      <c r="B16" s="3" t="s">
        <v>5</v>
      </c>
      <c r="C16" s="6">
        <v>36.200000000000003</v>
      </c>
      <c r="D16" s="6">
        <v>38.799999999999997</v>
      </c>
      <c r="E16" s="6">
        <v>40.299999999999997</v>
      </c>
      <c r="F16" s="6">
        <v>41</v>
      </c>
      <c r="G16" s="6">
        <v>41.8</v>
      </c>
      <c r="H16" s="6">
        <v>41.6</v>
      </c>
      <c r="I16" s="6">
        <v>42.4</v>
      </c>
      <c r="J16" s="6">
        <v>43.8</v>
      </c>
      <c r="K16" s="6">
        <v>46.6</v>
      </c>
      <c r="L16" s="6">
        <v>46.6</v>
      </c>
      <c r="M16" s="6">
        <v>47.4</v>
      </c>
      <c r="N16" s="6">
        <v>46.7</v>
      </c>
      <c r="O16" s="6">
        <v>46.4</v>
      </c>
      <c r="P16" s="6">
        <v>50.1</v>
      </c>
      <c r="Q16" s="6">
        <v>57</v>
      </c>
      <c r="R16" s="6">
        <v>60.2</v>
      </c>
      <c r="S16" s="6">
        <v>62.2</v>
      </c>
      <c r="T16" s="6">
        <v>64.900000000000006</v>
      </c>
      <c r="U16" s="4">
        <v>67.682158434071326</v>
      </c>
      <c r="V16" s="4">
        <v>70.384769142693173</v>
      </c>
      <c r="W16" s="4">
        <v>71.054718765586657</v>
      </c>
      <c r="X16" s="4">
        <v>72.38490218068759</v>
      </c>
      <c r="Y16" s="4">
        <v>72.719545172299291</v>
      </c>
      <c r="Z16" s="4">
        <v>73.474874148910374</v>
      </c>
      <c r="AA16" s="4">
        <v>73.747834785443843</v>
      </c>
      <c r="AB16" s="4">
        <v>81.875497136665345</v>
      </c>
      <c r="AC16" s="4">
        <v>81.232731216744966</v>
      </c>
      <c r="AD16" s="4">
        <v>83.085995719965339</v>
      </c>
      <c r="AE16" s="4">
        <v>84.924056734605429</v>
      </c>
      <c r="AF16" s="4">
        <v>87.730594746044261</v>
      </c>
      <c r="AG16" s="4">
        <v>91.069888367343594</v>
      </c>
    </row>
    <row r="17" spans="1:33" s="4" customFormat="1" x14ac:dyDescent="0.25">
      <c r="A17" s="2"/>
      <c r="B17" s="3" t="s">
        <v>6</v>
      </c>
      <c r="C17" s="6">
        <v>3.1</v>
      </c>
      <c r="D17" s="6">
        <v>3.2</v>
      </c>
      <c r="E17" s="6">
        <v>3.2</v>
      </c>
      <c r="F17" s="6">
        <v>3</v>
      </c>
      <c r="G17" s="6">
        <v>2.8</v>
      </c>
      <c r="H17" s="6">
        <v>2.5</v>
      </c>
      <c r="I17" s="6">
        <v>2.4</v>
      </c>
      <c r="J17" s="6">
        <v>2.2999999999999998</v>
      </c>
      <c r="K17" s="6">
        <v>2.8</v>
      </c>
      <c r="L17" s="6">
        <v>2.7</v>
      </c>
      <c r="M17" s="6">
        <v>2.6</v>
      </c>
      <c r="N17" s="6">
        <v>2.2999999999999998</v>
      </c>
      <c r="O17" s="6">
        <v>2.6</v>
      </c>
      <c r="P17" s="6">
        <v>1.5</v>
      </c>
      <c r="Q17" s="6">
        <v>2.2000000000000002</v>
      </c>
      <c r="R17" s="6">
        <v>2</v>
      </c>
      <c r="S17" s="6">
        <v>1.9</v>
      </c>
      <c r="T17" s="6">
        <v>1.9</v>
      </c>
      <c r="U17" s="4">
        <v>1.9477898009387118</v>
      </c>
      <c r="V17" s="4">
        <v>2.094038583241284</v>
      </c>
      <c r="W17" s="4">
        <v>2.0850349004861446</v>
      </c>
      <c r="X17" s="4">
        <v>2.0431764403833825</v>
      </c>
      <c r="Y17" s="4">
        <v>1.4705362570095928</v>
      </c>
      <c r="Z17" s="4">
        <v>1.5623918691089227</v>
      </c>
      <c r="AA17" s="4">
        <v>1.6363738777168224</v>
      </c>
      <c r="AB17" s="4">
        <v>1.6175813406169066</v>
      </c>
      <c r="AC17" s="4">
        <v>1.7184307035642035</v>
      </c>
      <c r="AD17" s="4">
        <v>1.507160595346521</v>
      </c>
      <c r="AE17" s="4">
        <v>1.3656448913941788</v>
      </c>
      <c r="AF17" s="4">
        <v>1.2537322382254781</v>
      </c>
      <c r="AG17" s="4">
        <v>1.3</v>
      </c>
    </row>
    <row r="18" spans="1:33" s="4" customFormat="1" x14ac:dyDescent="0.25">
      <c r="A18" s="2"/>
      <c r="B18" s="3" t="s">
        <v>7</v>
      </c>
      <c r="C18" s="6">
        <v>7.8</v>
      </c>
      <c r="D18" s="6">
        <v>7.7</v>
      </c>
      <c r="E18" s="6">
        <v>7.2</v>
      </c>
      <c r="F18" s="6">
        <v>6.8</v>
      </c>
      <c r="G18" s="6">
        <v>6.4</v>
      </c>
      <c r="H18" s="6">
        <v>6</v>
      </c>
      <c r="I18" s="6">
        <v>5.8</v>
      </c>
      <c r="J18" s="6">
        <v>5.6</v>
      </c>
      <c r="K18" s="6">
        <v>5.8</v>
      </c>
      <c r="L18" s="6">
        <v>5.8</v>
      </c>
      <c r="M18" s="6">
        <v>6.1</v>
      </c>
      <c r="N18" s="6">
        <v>6.3</v>
      </c>
      <c r="O18" s="6">
        <v>6.5</v>
      </c>
      <c r="P18" s="6">
        <v>6.9</v>
      </c>
      <c r="Q18" s="6">
        <v>7.6</v>
      </c>
      <c r="R18" s="6">
        <v>7.6</v>
      </c>
      <c r="S18" s="6">
        <v>7.7</v>
      </c>
      <c r="T18" s="6">
        <v>7.9</v>
      </c>
      <c r="U18" s="4">
        <v>8.0741310876684622</v>
      </c>
      <c r="V18" s="4">
        <v>8.2043595933200635</v>
      </c>
      <c r="W18" s="4">
        <v>8.3991928779932064</v>
      </c>
      <c r="X18" s="4">
        <v>8.4236221664928923</v>
      </c>
      <c r="Y18" s="4">
        <v>8.2515847537244493</v>
      </c>
      <c r="Z18" s="4">
        <v>8.1983116827427445</v>
      </c>
      <c r="AA18" s="4">
        <v>8.111974021947967</v>
      </c>
      <c r="AB18" s="4">
        <v>9.3000143209868025</v>
      </c>
      <c r="AC18" s="4">
        <v>9.1822410912026928</v>
      </c>
      <c r="AD18" s="4">
        <v>8.6774771277075953</v>
      </c>
      <c r="AE18" s="4">
        <v>8.3032620916033668</v>
      </c>
      <c r="AF18" s="4">
        <v>8.479727013432651</v>
      </c>
      <c r="AG18" s="4">
        <v>8.7286579471358543</v>
      </c>
    </row>
    <row r="19" spans="1:33" s="4" customFormat="1" x14ac:dyDescent="0.25">
      <c r="A19" s="2"/>
      <c r="B19" s="3" t="s">
        <v>8</v>
      </c>
      <c r="C19" s="6">
        <v>-0.5</v>
      </c>
      <c r="D19" s="6">
        <v>0.3</v>
      </c>
      <c r="E19" s="6">
        <v>0.3</v>
      </c>
      <c r="F19" s="6">
        <v>0.6</v>
      </c>
      <c r="G19" s="6">
        <v>0.4</v>
      </c>
      <c r="H19" s="6">
        <v>0.3</v>
      </c>
      <c r="I19" s="6">
        <v>-0.3</v>
      </c>
      <c r="J19" s="6">
        <v>0.2</v>
      </c>
      <c r="K19" s="6">
        <v>0.7</v>
      </c>
      <c r="L19" s="6">
        <v>2.4</v>
      </c>
      <c r="M19" s="6">
        <v>3.6</v>
      </c>
      <c r="N19" s="6">
        <v>3.5</v>
      </c>
      <c r="O19" s="6">
        <v>3.5</v>
      </c>
      <c r="P19" s="6">
        <v>2.9</v>
      </c>
      <c r="Q19" s="6">
        <v>4.7</v>
      </c>
      <c r="R19" s="6">
        <v>5.6</v>
      </c>
      <c r="S19" s="6">
        <v>6.5</v>
      </c>
      <c r="T19" s="6">
        <v>7.3</v>
      </c>
      <c r="U19" s="4">
        <v>7.310107001101704</v>
      </c>
      <c r="V19" s="4">
        <v>6.9878671125900933</v>
      </c>
      <c r="W19" s="4">
        <v>7.0818505661392148</v>
      </c>
      <c r="X19" s="4">
        <v>7.0211786887735963</v>
      </c>
      <c r="Y19" s="4">
        <v>7.0210469956333368</v>
      </c>
      <c r="Z19" s="4">
        <v>6.1816373951700863</v>
      </c>
      <c r="AA19" s="4">
        <v>5.4929535191700376</v>
      </c>
      <c r="AB19" s="4">
        <v>8.8082695934392632</v>
      </c>
      <c r="AC19" s="4">
        <v>8.4047608424903508</v>
      </c>
      <c r="AD19" s="4">
        <v>7.8070918838949783</v>
      </c>
      <c r="AE19" s="4">
        <v>6.8176380624639616</v>
      </c>
      <c r="AF19" s="4">
        <v>7.0488369589361817</v>
      </c>
      <c r="AG19" s="4">
        <v>7.3295348867495029</v>
      </c>
    </row>
    <row r="20" spans="1:33" s="4" customFormat="1" x14ac:dyDescent="0.25">
      <c r="A20" s="2"/>
      <c r="B20" s="3" t="s">
        <v>1</v>
      </c>
    </row>
    <row r="21" spans="1:33" s="4" customFormat="1" x14ac:dyDescent="0.25">
      <c r="A21" s="2"/>
      <c r="B21" s="3" t="s">
        <v>10</v>
      </c>
    </row>
    <row r="22" spans="1:33" s="4" customFormat="1" x14ac:dyDescent="0.25">
      <c r="A22" s="2"/>
      <c r="B22" s="3" t="s">
        <v>3</v>
      </c>
      <c r="C22" s="5">
        <v>32.299999999999997</v>
      </c>
      <c r="D22" s="5">
        <v>29.199999999999996</v>
      </c>
      <c r="E22" s="5">
        <v>56.6</v>
      </c>
      <c r="F22" s="5">
        <v>84.199999999999989</v>
      </c>
      <c r="G22" s="5">
        <v>143.19999999999999</v>
      </c>
      <c r="H22" s="5">
        <v>126.4</v>
      </c>
      <c r="I22" s="5">
        <v>77.099999999999994</v>
      </c>
      <c r="J22" s="5">
        <v>71.7</v>
      </c>
      <c r="K22" s="5">
        <v>114.89999999999999</v>
      </c>
      <c r="L22" s="5">
        <v>130.1</v>
      </c>
      <c r="M22" s="5">
        <v>234.40000000000003</v>
      </c>
      <c r="N22" s="5">
        <v>268.8</v>
      </c>
      <c r="O22" s="5">
        <v>304.20000000000005</v>
      </c>
      <c r="P22" s="5">
        <v>214.49999999999997</v>
      </c>
      <c r="Q22" s="5">
        <v>239.6</v>
      </c>
      <c r="R22" s="5">
        <v>222.3</v>
      </c>
      <c r="S22" s="5">
        <v>182.60000000000002</v>
      </c>
      <c r="T22" s="10">
        <v>185.4</v>
      </c>
      <c r="U22" s="11">
        <v>218.6</v>
      </c>
      <c r="V22" s="11">
        <v>213.5</v>
      </c>
      <c r="W22" s="11">
        <v>208.89999999999998</v>
      </c>
      <c r="X22" s="11">
        <v>211.3</v>
      </c>
      <c r="Y22" s="11">
        <v>224.3</v>
      </c>
      <c r="Z22" s="11">
        <v>223.6</v>
      </c>
      <c r="AA22" s="11">
        <v>251.09999999999997</v>
      </c>
      <c r="AB22" s="12">
        <v>244.8</v>
      </c>
      <c r="AC22" s="12">
        <v>262.89999999999998</v>
      </c>
      <c r="AD22" s="12">
        <v>266.7</v>
      </c>
      <c r="AE22" s="12">
        <v>256.5</v>
      </c>
      <c r="AF22" s="12">
        <v>277</v>
      </c>
      <c r="AG22" s="12">
        <v>318.29999999999995</v>
      </c>
    </row>
    <row r="23" spans="1:33" s="4" customFormat="1" x14ac:dyDescent="0.25">
      <c r="A23" s="2"/>
      <c r="B23" s="3" t="s">
        <v>4</v>
      </c>
      <c r="C23" s="5">
        <v>16.2</v>
      </c>
      <c r="D23" s="5">
        <v>11.7</v>
      </c>
      <c r="E23" s="5">
        <v>40.4</v>
      </c>
      <c r="F23" s="5">
        <v>66.7</v>
      </c>
      <c r="G23" s="5">
        <v>116.4</v>
      </c>
      <c r="H23" s="5">
        <v>89.8</v>
      </c>
      <c r="I23" s="5">
        <v>43.1</v>
      </c>
      <c r="J23" s="5">
        <v>32.200000000000003</v>
      </c>
      <c r="K23" s="5">
        <v>64.599999999999994</v>
      </c>
      <c r="L23" s="5">
        <v>63.7</v>
      </c>
      <c r="M23" s="5">
        <v>145.20000000000002</v>
      </c>
      <c r="N23" s="5">
        <v>167.3</v>
      </c>
      <c r="O23" s="5">
        <v>196.4</v>
      </c>
      <c r="P23" s="5">
        <v>128.19999999999999</v>
      </c>
      <c r="Q23" s="5">
        <v>135.1</v>
      </c>
      <c r="R23" s="5">
        <v>120.6</v>
      </c>
      <c r="S23" s="5">
        <v>89.2</v>
      </c>
      <c r="T23" s="10">
        <v>85.9</v>
      </c>
      <c r="U23" s="12">
        <v>118.2</v>
      </c>
      <c r="V23" s="12">
        <v>114.1</v>
      </c>
      <c r="W23" s="12">
        <v>104.6</v>
      </c>
      <c r="X23" s="12">
        <v>100.2</v>
      </c>
      <c r="Y23" s="12">
        <v>105.1</v>
      </c>
      <c r="Z23" s="12">
        <v>107.1</v>
      </c>
      <c r="AA23" s="12">
        <v>117.69999999999999</v>
      </c>
      <c r="AB23" s="12">
        <v>114.6</v>
      </c>
      <c r="AC23" s="12">
        <v>122.5</v>
      </c>
      <c r="AD23" s="12">
        <v>134.5</v>
      </c>
      <c r="AE23" s="12">
        <v>108.8</v>
      </c>
      <c r="AF23" s="12">
        <v>114.4</v>
      </c>
      <c r="AG23" s="12">
        <v>141.6</v>
      </c>
    </row>
    <row r="24" spans="1:33" s="4" customFormat="1" x14ac:dyDescent="0.25">
      <c r="A24" s="2"/>
      <c r="B24" s="3" t="s">
        <v>5</v>
      </c>
      <c r="C24" s="5">
        <v>12.7</v>
      </c>
      <c r="D24" s="5">
        <v>7.6</v>
      </c>
      <c r="E24" s="5">
        <v>35.6</v>
      </c>
      <c r="F24" s="5">
        <v>53</v>
      </c>
      <c r="G24" s="5">
        <v>100.7</v>
      </c>
      <c r="H24" s="5">
        <v>73.3</v>
      </c>
      <c r="I24" s="5">
        <v>30.2</v>
      </c>
      <c r="J24" s="5">
        <v>21.6</v>
      </c>
      <c r="K24" s="5">
        <v>38.6</v>
      </c>
      <c r="L24" s="5">
        <v>39.1</v>
      </c>
      <c r="M24" s="5">
        <v>117.9</v>
      </c>
      <c r="N24" s="5">
        <v>136.9</v>
      </c>
      <c r="O24" s="5">
        <v>167.6</v>
      </c>
      <c r="P24" s="5">
        <v>111</v>
      </c>
      <c r="Q24" s="5">
        <v>103</v>
      </c>
      <c r="R24" s="5">
        <v>87.7</v>
      </c>
      <c r="S24" s="5">
        <v>61.7</v>
      </c>
      <c r="T24" s="10">
        <v>52</v>
      </c>
      <c r="U24" s="11">
        <v>78.400000000000006</v>
      </c>
      <c r="V24" s="11">
        <v>77.8</v>
      </c>
      <c r="W24" s="11">
        <v>66.7</v>
      </c>
      <c r="X24" s="11">
        <v>59.2</v>
      </c>
      <c r="Y24" s="11">
        <v>69.3</v>
      </c>
      <c r="Z24" s="11">
        <v>73.099999999999994</v>
      </c>
      <c r="AA24" s="11">
        <v>75.3</v>
      </c>
      <c r="AB24" s="12">
        <v>71.7</v>
      </c>
      <c r="AC24" s="12">
        <v>69.400000000000006</v>
      </c>
      <c r="AD24" s="12">
        <v>84</v>
      </c>
      <c r="AE24" s="12">
        <v>51.9</v>
      </c>
      <c r="AF24" s="12">
        <v>55.5</v>
      </c>
      <c r="AG24" s="12">
        <v>73.599999999999994</v>
      </c>
    </row>
    <row r="25" spans="1:33" s="4" customFormat="1" x14ac:dyDescent="0.25">
      <c r="A25" s="2"/>
      <c r="B25" s="3" t="s">
        <v>6</v>
      </c>
      <c r="C25" s="5">
        <v>3.5</v>
      </c>
      <c r="D25" s="5">
        <v>4.0999999999999996</v>
      </c>
      <c r="E25" s="5">
        <v>4.8</v>
      </c>
      <c r="F25" s="5">
        <v>13.7</v>
      </c>
      <c r="G25" s="5">
        <v>15.7</v>
      </c>
      <c r="H25" s="5">
        <v>16.5</v>
      </c>
      <c r="I25" s="5">
        <v>12.9</v>
      </c>
      <c r="J25" s="5">
        <v>10.6</v>
      </c>
      <c r="K25" s="5">
        <v>26</v>
      </c>
      <c r="L25" s="5">
        <v>24.6</v>
      </c>
      <c r="M25" s="5">
        <v>27.3</v>
      </c>
      <c r="N25" s="5">
        <v>30.4</v>
      </c>
      <c r="O25" s="5">
        <v>28.8</v>
      </c>
      <c r="P25" s="5">
        <v>17.2</v>
      </c>
      <c r="Q25" s="5">
        <v>32.1</v>
      </c>
      <c r="R25" s="5">
        <v>32.9</v>
      </c>
      <c r="S25" s="5">
        <v>27.5</v>
      </c>
      <c r="T25" s="10">
        <v>33.9</v>
      </c>
      <c r="U25" s="11">
        <v>39.799999999999997</v>
      </c>
      <c r="V25" s="11">
        <v>36.299999999999997</v>
      </c>
      <c r="W25" s="11">
        <v>37.9</v>
      </c>
      <c r="X25" s="11">
        <v>41</v>
      </c>
      <c r="Y25" s="11">
        <v>35.799999999999997</v>
      </c>
      <c r="Z25" s="11">
        <v>34</v>
      </c>
      <c r="AA25" s="11">
        <v>42.4</v>
      </c>
      <c r="AB25" s="12">
        <v>42.9</v>
      </c>
      <c r="AC25" s="12">
        <v>53.1</v>
      </c>
      <c r="AD25" s="12">
        <v>50.5</v>
      </c>
      <c r="AE25" s="12">
        <v>56.9</v>
      </c>
      <c r="AF25" s="12">
        <v>58.9</v>
      </c>
      <c r="AG25" s="12">
        <v>68</v>
      </c>
    </row>
    <row r="26" spans="1:33" s="4" customFormat="1" x14ac:dyDescent="0.25">
      <c r="A26" s="2"/>
      <c r="B26" s="3" t="s">
        <v>7</v>
      </c>
      <c r="C26" s="5">
        <v>0.1</v>
      </c>
      <c r="D26" s="5">
        <v>0.1</v>
      </c>
      <c r="E26" s="5">
        <v>0.1</v>
      </c>
      <c r="F26" s="5">
        <v>0.1</v>
      </c>
      <c r="G26" s="5">
        <v>0.1</v>
      </c>
      <c r="H26" s="5">
        <v>0.4</v>
      </c>
      <c r="I26" s="5">
        <v>0.4</v>
      </c>
      <c r="J26" s="5">
        <v>0.5</v>
      </c>
      <c r="K26" s="5">
        <v>0.6</v>
      </c>
      <c r="L26" s="5">
        <v>0.8</v>
      </c>
      <c r="M26" s="5">
        <v>0.8</v>
      </c>
      <c r="N26" s="5">
        <v>0.8</v>
      </c>
      <c r="O26" s="5">
        <v>0.8</v>
      </c>
      <c r="P26" s="5">
        <v>0.7</v>
      </c>
      <c r="Q26" s="5">
        <v>0.9</v>
      </c>
      <c r="R26" s="5">
        <v>0.5</v>
      </c>
      <c r="S26" s="5">
        <v>0.5</v>
      </c>
      <c r="T26" s="10">
        <v>0.4</v>
      </c>
      <c r="U26" s="11">
        <v>0.3</v>
      </c>
      <c r="V26" s="11">
        <v>0.2</v>
      </c>
      <c r="W26" s="11">
        <v>0.2</v>
      </c>
      <c r="X26" s="11">
        <v>0.2</v>
      </c>
      <c r="Y26" s="11">
        <v>0.2</v>
      </c>
      <c r="Z26" s="11">
        <v>0.2</v>
      </c>
      <c r="AA26" s="11">
        <v>0.2</v>
      </c>
      <c r="AB26" s="12">
        <v>0.2</v>
      </c>
      <c r="AC26" s="12">
        <v>0.2</v>
      </c>
      <c r="AD26" s="12">
        <v>0.2</v>
      </c>
      <c r="AE26" s="12">
        <v>0.2</v>
      </c>
      <c r="AF26" s="12">
        <v>0.2</v>
      </c>
      <c r="AG26" s="12">
        <v>0.2</v>
      </c>
    </row>
    <row r="27" spans="1:33" s="4" customFormat="1" x14ac:dyDescent="0.25">
      <c r="A27" s="2"/>
      <c r="B27" s="3" t="s">
        <v>8</v>
      </c>
      <c r="C27" s="5">
        <v>16</v>
      </c>
      <c r="D27" s="5">
        <v>17.399999999999999</v>
      </c>
      <c r="E27" s="5">
        <v>16.100000000000001</v>
      </c>
      <c r="F27" s="5">
        <v>17.399999999999999</v>
      </c>
      <c r="G27" s="5">
        <v>26.7</v>
      </c>
      <c r="H27" s="5">
        <v>36.200000000000003</v>
      </c>
      <c r="I27" s="5">
        <v>33.6</v>
      </c>
      <c r="J27" s="5">
        <v>39</v>
      </c>
      <c r="K27" s="5">
        <v>49.7</v>
      </c>
      <c r="L27" s="5">
        <v>65.599999999999994</v>
      </c>
      <c r="M27" s="5">
        <v>88.4</v>
      </c>
      <c r="N27" s="5">
        <v>100.7</v>
      </c>
      <c r="O27" s="5">
        <v>107</v>
      </c>
      <c r="P27" s="5">
        <v>85.6</v>
      </c>
      <c r="Q27" s="5">
        <v>103.6</v>
      </c>
      <c r="R27" s="5">
        <v>101.2</v>
      </c>
      <c r="S27" s="5">
        <v>92.9</v>
      </c>
      <c r="T27" s="10">
        <v>99.1</v>
      </c>
      <c r="U27" s="11">
        <v>100.1</v>
      </c>
      <c r="V27" s="11">
        <v>99.2</v>
      </c>
      <c r="W27" s="11">
        <v>104.1</v>
      </c>
      <c r="X27" s="11">
        <v>110.9</v>
      </c>
      <c r="Y27" s="11">
        <v>119</v>
      </c>
      <c r="Z27" s="11">
        <v>116.3</v>
      </c>
      <c r="AA27" s="11">
        <v>133.19999999999999</v>
      </c>
      <c r="AB27" s="12">
        <v>130</v>
      </c>
      <c r="AC27" s="12">
        <v>140.19999999999999</v>
      </c>
      <c r="AD27" s="12">
        <v>132</v>
      </c>
      <c r="AE27" s="12">
        <v>147.5</v>
      </c>
      <c r="AF27" s="12">
        <v>162.4</v>
      </c>
      <c r="AG27" s="12">
        <v>176.5</v>
      </c>
    </row>
    <row r="28" spans="1:33" s="4" customFormat="1" x14ac:dyDescent="0.25">
      <c r="A28" s="2"/>
      <c r="B28" s="3"/>
    </row>
    <row r="29" spans="1:33" s="4" customFormat="1" x14ac:dyDescent="0.25">
      <c r="A29" s="2"/>
      <c r="B29" s="3" t="s">
        <v>11</v>
      </c>
    </row>
    <row r="30" spans="1:33" s="4" customFormat="1" x14ac:dyDescent="0.25">
      <c r="A30" s="2"/>
      <c r="B30" s="3"/>
    </row>
    <row r="31" spans="1:33" s="4" customFormat="1" x14ac:dyDescent="0.25">
      <c r="A31" s="2"/>
      <c r="B31" s="3" t="s">
        <v>15</v>
      </c>
      <c r="X31" s="7"/>
    </row>
    <row r="32" spans="1:33" s="4" customFormat="1" x14ac:dyDescent="0.25">
      <c r="A32" s="2"/>
      <c r="B32" s="3"/>
      <c r="X32" s="7"/>
    </row>
    <row r="33" spans="1:29" s="4" customFormat="1" x14ac:dyDescent="0.25">
      <c r="A33" s="2"/>
      <c r="B33" s="3" t="s">
        <v>12</v>
      </c>
      <c r="X33" s="7"/>
    </row>
    <row r="34" spans="1:29" s="4" customFormat="1" x14ac:dyDescent="0.25">
      <c r="A34" s="2"/>
      <c r="B34" s="3" t="s">
        <v>13</v>
      </c>
      <c r="X34" s="7"/>
    </row>
    <row r="35" spans="1:29" s="4" customFormat="1" x14ac:dyDescent="0.25">
      <c r="A35" s="2"/>
      <c r="B35" s="3" t="s">
        <v>14</v>
      </c>
      <c r="X35" s="7"/>
    </row>
    <row r="36" spans="1:29" x14ac:dyDescent="0.25">
      <c r="Y36" s="4"/>
      <c r="Z36" s="4"/>
      <c r="AA36" s="4"/>
      <c r="AB36" s="4"/>
      <c r="AC36" s="4"/>
    </row>
    <row r="37" spans="1:29" x14ac:dyDescent="0.25">
      <c r="Y37" s="4"/>
      <c r="Z37" s="4"/>
      <c r="AA37" s="4"/>
      <c r="AB37" s="4"/>
      <c r="AC37" s="4"/>
    </row>
    <row r="38" spans="1:29" x14ac:dyDescent="0.25">
      <c r="Y38" s="4"/>
      <c r="Z38" s="8"/>
    </row>
  </sheetData>
  <pageMargins left="0.78749999999999998" right="0.78749999999999998"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T_3103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 Barry</dc:creator>
  <dc:description/>
  <cp:lastModifiedBy>Zaiem Meryam</cp:lastModifiedBy>
  <cp:revision>1</cp:revision>
  <dcterms:created xsi:type="dcterms:W3CDTF">2015-08-28T13:00:02Z</dcterms:created>
  <dcterms:modified xsi:type="dcterms:W3CDTF">2026-05-22T08:52:11Z</dcterms:modified>
  <dc:language>fr-FR</dc:language>
</cp:coreProperties>
</file>