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U:\JKL\L-G410-CAP\Usuels.CAP\3 - Diffusion\01_Site_Insee\00_Donnees_Comptes\Mars et mai 2026\Mai\FR\"/>
    </mc:Choice>
  </mc:AlternateContent>
  <xr:revisionPtr revIDLastSave="0" documentId="8_{13A5A669-041B-4823-B3D7-B5E09237F51F}" xr6:coauthVersionLast="47" xr6:coauthVersionMax="47" xr10:uidLastSave="{00000000-0000-0000-0000-000000000000}"/>
  <bookViews>
    <workbookView xWindow="-120" yWindow="-120" windowWidth="25440" windowHeight="15270" xr2:uid="{00000000-000D-0000-FFFF-FFFF00000000}"/>
  </bookViews>
  <sheets>
    <sheet name="t_3105" sheetId="6493" r:id="rId1"/>
    <sheet name="t_3105 Notice" sheetId="649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Q7" i="6493" l="1"/>
  <c r="Q26" i="6493" s="1"/>
  <c r="R7" i="6493"/>
  <c r="R26" i="6493"/>
  <c r="Q19" i="6493"/>
  <c r="R19" i="6493"/>
  <c r="Q15" i="6493"/>
  <c r="R15" i="6493"/>
  <c r="S26" i="6493"/>
  <c r="S19" i="6493"/>
  <c r="S15" i="6493"/>
  <c r="S7" i="6493"/>
  <c r="C26" i="6493" l="1"/>
  <c r="D26" i="6493"/>
  <c r="E26" i="6493"/>
  <c r="F26" i="6493"/>
  <c r="G26" i="6493"/>
  <c r="H26" i="6493"/>
  <c r="I26" i="6493"/>
  <c r="J26" i="6493"/>
  <c r="K26" i="6493"/>
  <c r="L26" i="6493"/>
  <c r="M26" i="6493"/>
  <c r="N26" i="6493"/>
  <c r="O26" i="6493"/>
  <c r="P15" i="6493" l="1"/>
  <c r="P7" i="6493"/>
  <c r="P19" i="6493"/>
  <c r="P26" i="6493" l="1"/>
</calcChain>
</file>

<file path=xl/sharedStrings.xml><?xml version="1.0" encoding="utf-8"?>
<sst xmlns="http://schemas.openxmlformats.org/spreadsheetml/2006/main" count="81" uniqueCount="62">
  <si>
    <t>3.105 Passage du déficit des administrations publiques (S13) à la variation de leur dette au sens de Maastricht</t>
  </si>
  <si>
    <t xml:space="preserve"> </t>
  </si>
  <si>
    <t>Déficit des administrations publiques (*) - D</t>
  </si>
  <si>
    <t>Acquisitions d'actifs nettes des cessions et hors autres comptes à recevoir (1)</t>
  </si>
  <si>
    <t xml:space="preserve">   F2 Numéraires et dépôts</t>
  </si>
  <si>
    <t xml:space="preserve">   F3 Titres hors actions</t>
  </si>
  <si>
    <t xml:space="preserve">   F4 Crédits</t>
  </si>
  <si>
    <t xml:space="preserve">   F5 Actions et autres participations</t>
  </si>
  <si>
    <t xml:space="preserve">   F71 Produits dérivés financiers</t>
  </si>
  <si>
    <t>Variation du passif financier hors dette de Maastricht et hors autres comptes à payer (2)</t>
  </si>
  <si>
    <t>Changements de volume inclus dans la dette de Maastricht (3)</t>
  </si>
  <si>
    <t xml:space="preserve">   K10, K12 Changement de classement et autres changements de volume</t>
  </si>
  <si>
    <t xml:space="preserve">   K11 Valorisation de la dette en devises</t>
  </si>
  <si>
    <t xml:space="preserve">   K14 Gains/Pertes sur rachats de titres</t>
  </si>
  <si>
    <t>F8 Solde des autres comptes à recevoir/à payer (4)</t>
  </si>
  <si>
    <t>Ecart statistique B9nf - B9f (5)</t>
  </si>
  <si>
    <t>Variation de la dette au sens de Maastricht = D + (1) + (2) + (3) + (4) + (5)</t>
  </si>
  <si>
    <t>En milliards d'euros</t>
  </si>
  <si>
    <t>N.D.: non disponible.</t>
  </si>
  <si>
    <t>(*) Au sens du Traité de Maastricht, y compris flux de swap.</t>
  </si>
  <si>
    <t>Objectif du tableau 3.105</t>
  </si>
  <si>
    <t xml:space="preserve">1)  ajouter au déficit les acquisitions nettes d'actifs financiers  ( = acquisitions moins cessions d'actifs) ; </t>
  </si>
  <si>
    <t>Pour en savoir plus sur le tableau 3.105</t>
  </si>
  <si>
    <t>L'ensemble de la méthodologie du calcul de la dette au sens de Maastricht fait l'objet d'une note méthodologique de l'Insee présente à l'adresse suivante : http://www.insee.fr/fr/indicateurs/ind40/Dette_m.pdf</t>
  </si>
  <si>
    <t>Description des lignes du tableau 3.105</t>
  </si>
  <si>
    <t>D</t>
  </si>
  <si>
    <t>Déficit des administrations publiques (*)</t>
  </si>
  <si>
    <t>Différence entre les recettes et les dépenses au cours de l'année N</t>
  </si>
  <si>
    <t>(1)</t>
  </si>
  <si>
    <t>Acquisitions d'actifs nettes des cessions et hors autres comptes à recevoir</t>
  </si>
  <si>
    <t>Dépôts en monnaie nationale et en devises</t>
  </si>
  <si>
    <t>Titres de créance (dont obligations)</t>
  </si>
  <si>
    <t>Actions et parts de fonds d'investissement</t>
  </si>
  <si>
    <t>Les produits dérivés sont des produits financiers de gestion de risques (Swaps, options, etc).</t>
  </si>
  <si>
    <t>(2)</t>
  </si>
  <si>
    <t>Variations du passif financier hors dette de Maastricht et hors autres comptes à payer</t>
  </si>
  <si>
    <t>Les produits dérivés sont des produits financiers de gestion de risque (Swaps, options, etc).</t>
  </si>
  <si>
    <t>(3)</t>
  </si>
  <si>
    <t>Changements de volume inclus dans la dette de Maastricht</t>
  </si>
  <si>
    <t>Les changements de classement comprennent les changements de classement sectoriel ou de structure d'une unité institutionnelle et les changements de classement d'actifs et de passifs.
Les autres changements de volume sont en général les écarts statistique</t>
  </si>
  <si>
    <t>Effets des taux de change sur la valeur de la dette émise en devises étrangères</t>
  </si>
  <si>
    <t>Gains ou pertes lorsque l'Agence France Trésor (AFT) procède à des opérations de rachat de dette</t>
  </si>
  <si>
    <t>(4)</t>
  </si>
  <si>
    <t>F8 Solde des comptes à recevoir / à payer</t>
  </si>
  <si>
    <t>Les comptes à payer incluent les crédits commerciaux et les décalages comptables.</t>
  </si>
  <si>
    <t>(5)</t>
  </si>
  <si>
    <t>Ecart statistique B9nf - B9f</t>
  </si>
  <si>
    <t>B9nf = besoin de financement issu des comptes non-financiers
B9f = besoin de financement issu des comptes financiers</t>
  </si>
  <si>
    <t>D+(1)+…(5)</t>
  </si>
  <si>
    <t>Variation de la dette au sens de Maastricht</t>
  </si>
  <si>
    <t>Le tableau 3.105 est une simplification du tableau de passage du déficit à la variation de la dette transmis deux fois par an par l'Insee à Eurostat dans le cadre de la procédure de déficit excessif (PDE). Ce tableau est accessible à l'adresse suivante : http://epp.eurostat.ec.europa.eu/portal/page/portal/government_finance_statistics/excessive_deficit/edp_notification_tables</t>
  </si>
  <si>
    <t>Enfin, il faut tenir compte des "changements de volume" qui affectent la dette publique sans affecter le déficit. Il s'agit principalement d'effets de valorisation pour la dette en devises étrangères, ou de gains et pertes sur des rachats de titres de dette.</t>
  </si>
  <si>
    <t>2)  et retrancher la variation des passifs qui ne sont pas comptabilisés dans la dette de Maastricht, à savoir : 
-  les "comptes à payer", qui sont des passifs généralement de court terme et ne portant pas d'intérêts, comme par exemple une facture en attente de paiement, et
-  les "intérêts courus non échus" qui sont exclus par convention de la dette au sens de Maastricht. 
A noter, dans le tableau 3.105, on présente une ligne de solde des "comptes à payer" et "comptes à recevoir".</t>
  </si>
  <si>
    <r>
      <t xml:space="preserve">Le tableau 3.105 permet de réconcilier les deux agrégats majeurs des finances des administrations publiques : le </t>
    </r>
    <r>
      <rPr>
        <b/>
        <sz val="10"/>
        <rFont val="Arial"/>
        <family val="2"/>
      </rPr>
      <t>déficit au sens de Maastricht</t>
    </r>
    <r>
      <rPr>
        <sz val="10"/>
        <rFont val="Arial"/>
        <family val="2"/>
      </rPr>
      <t xml:space="preserve">, qui correspond à la différence entre les recettes et les dépenses au cours de l'année N, et la </t>
    </r>
    <r>
      <rPr>
        <b/>
        <sz val="10"/>
        <rFont val="Arial"/>
        <family val="2"/>
      </rPr>
      <t>variation de la dette au sens de Maastricht</t>
    </r>
    <r>
      <rPr>
        <sz val="10"/>
        <rFont val="Arial"/>
        <family val="2"/>
      </rPr>
      <t xml:space="preserve"> entre la fin de l'année N-1 et la fin de l'année N (augmentation ou diminution). </t>
    </r>
    <r>
      <rPr>
        <b/>
        <sz val="10"/>
        <rFont val="Arial"/>
        <family val="2"/>
      </rPr>
      <t/>
    </r>
  </si>
  <si>
    <t>Deux éléments sont à prendre en compte pour réconcilier ces deux chiffres. D'abord, chaque euro de déficit doit être financé soit par la diminution des actifs des administrations publiques (par exemple par la baisse de la trésorerie), soit par l'augmentation des passifs (par exemple la hausse de l'endettement en titres obligataires). Par conséquent, le déficit public est égal à la variation du passif net, c'est à dire à la variation des passifs moins la variation des actifs. Le deuxième élément important est que la dette au sens de Maastricht ne constitue qu'une sous-partie de l'ensemble des passifs. Certains passifs peuvent donc varier sans que la dette au sens de Maastricht en soit affectée. Il y a alors deux corrections à effectuer pour passer du déficit public à la variation de la dette :</t>
  </si>
  <si>
    <r>
      <t xml:space="preserve">Une dernière correction purement statistique est introduite : l'égalité comptable "déficit = variation du passif net" est vérifiée quand on se réfère au </t>
    </r>
    <r>
      <rPr>
        <b/>
        <sz val="10"/>
        <rFont val="Arial"/>
        <family val="2"/>
      </rPr>
      <t>déficit issu du compte financier</t>
    </r>
    <r>
      <rPr>
        <sz val="10"/>
        <rFont val="Arial"/>
        <family val="2"/>
      </rPr>
      <t xml:space="preserve">. La ligne de départ du tableau 3.105 reprend un agrégat légèrement différent, à savoir le </t>
    </r>
    <r>
      <rPr>
        <b/>
        <sz val="10"/>
        <rFont val="Arial"/>
        <family val="2"/>
      </rPr>
      <t>déficit issu du compte non financier</t>
    </r>
    <r>
      <rPr>
        <sz val="10"/>
        <rFont val="Arial"/>
        <family val="2"/>
      </rPr>
      <t xml:space="preserve">. L'écart entre ces deux mesures du déficit est comptabilisé sur la ligne codée (5). </t>
    </r>
  </si>
  <si>
    <t>Les ICNE correspondent à des intérêts générés sur l'année mais pas encore payés (car ils sont payés à la date anniversaire par exemple). Ils comprennent également l'étalement des primes et décôtes sur émission.</t>
  </si>
  <si>
    <t xml:space="preserve">   F28, F38, F48 Intérêts courus non échus (y.c étalements des primes et décôtes)</t>
  </si>
  <si>
    <t xml:space="preserve">   F6 Réserve d'assurances</t>
  </si>
  <si>
    <t xml:space="preserve">   F6 Dépôts de garantie</t>
  </si>
  <si>
    <t xml:space="preserve">   F1, F5, F6, F7 Autres passifs hors dettes de Maastricht et hors autres comptes à payer</t>
  </si>
  <si>
    <t>Source : Comptes nationaux - Base 2020, Insee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</si>
</sst>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8" x14ac:knownFonts="1">
    <font>
      <sz val="10"/>
      <name val="Arial"/>
    </font>
    <font>
      <b/>
      <sz val="10"/>
      <name val="Arial"/>
      <family val="2"/>
    </font>
    <font>
      <b/>
      <sz val="12"/>
      <name val="Arial"/>
      <family val="2"/>
    </font>
    <font>
      <sz val="10"/>
      <name val="Arial"/>
      <family val="2"/>
    </font>
    <font>
      <b/>
      <sz val="10"/>
      <name val="Arial"/>
      <family val="2"/>
    </font>
    <font>
      <sz val="8"/>
      <name val="Arial"/>
      <family val="2"/>
    </font>
    <font>
      <i/>
      <sz val="8"/>
      <name val="Arial"/>
      <family val="2"/>
    </font>
    <font>
      <sz val="10"/>
      <name val="Arial"/>
      <family val="2"/>
    </font>
  </fonts>
  <fills count="2">
    <fill>
      <patternFill patternType="none"/>
    </fill>
    <fill>
      <patternFill patternType="gray125"/>
    </fill>
  </fills>
  <borders count="3">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3">
    <xf numFmtId="0" fontId="0" fillId="0" borderId="0"/>
    <xf numFmtId="0" fontId="7" fillId="0" borderId="0"/>
    <xf numFmtId="0" fontId="3" fillId="0" borderId="0"/>
  </cellStyleXfs>
  <cellXfs count="32">
    <xf numFmtId="0" fontId="0" fillId="0" borderId="0" xfId="0"/>
    <xf numFmtId="164" fontId="0" fillId="0" borderId="0" xfId="1" applyNumberFormat="1" applyFont="1"/>
    <xf numFmtId="0" fontId="1" fillId="0" borderId="0" xfId="1" applyFont="1"/>
    <xf numFmtId="164" fontId="0" fillId="0" borderId="0" xfId="1" applyNumberFormat="1" applyFont="1" applyAlignment="1">
      <alignment horizontal="right"/>
    </xf>
    <xf numFmtId="0" fontId="0" fillId="0" borderId="0" xfId="1" applyFont="1" applyFill="1" applyBorder="1" applyAlignment="1">
      <alignment wrapText="1"/>
    </xf>
    <xf numFmtId="0" fontId="0" fillId="0" borderId="0" xfId="1" applyFont="1" applyFill="1" applyAlignment="1">
      <alignment wrapText="1"/>
    </xf>
    <xf numFmtId="0" fontId="0" fillId="0" borderId="0" xfId="1" applyFont="1" applyAlignment="1">
      <alignment wrapText="1"/>
    </xf>
    <xf numFmtId="0" fontId="0" fillId="0" borderId="0" xfId="1" applyFont="1" applyAlignment="1">
      <alignment horizontal="center" vertical="top" wrapText="1"/>
    </xf>
    <xf numFmtId="0" fontId="2" fillId="0" borderId="1" xfId="1" applyFont="1" applyBorder="1" applyAlignment="1">
      <alignment horizontal="left" wrapText="1"/>
    </xf>
    <xf numFmtId="0" fontId="2" fillId="0" borderId="2" xfId="1" applyFont="1" applyBorder="1" applyAlignment="1">
      <alignment horizontal="left" wrapText="1"/>
    </xf>
    <xf numFmtId="0" fontId="5" fillId="0" borderId="0" xfId="1" applyFont="1" applyAlignment="1">
      <alignment horizontal="center" vertical="top" wrapText="1"/>
    </xf>
    <xf numFmtId="164" fontId="4" fillId="0" borderId="0" xfId="1" applyNumberFormat="1" applyFont="1" applyFill="1" applyAlignment="1">
      <alignment vertical="top" wrapText="1"/>
    </xf>
    <xf numFmtId="0" fontId="3" fillId="0" borderId="0" xfId="1" applyFont="1" applyFill="1" applyAlignment="1">
      <alignment vertical="top" wrapText="1"/>
    </xf>
    <xf numFmtId="164" fontId="3" fillId="0" borderId="0" xfId="1" applyNumberFormat="1" applyFont="1" applyFill="1" applyAlignment="1">
      <alignment vertical="top" wrapText="1"/>
    </xf>
    <xf numFmtId="164" fontId="3" fillId="0" borderId="0" xfId="1" applyNumberFormat="1" applyFont="1" applyFill="1" applyAlignment="1">
      <alignment horizontal="left" vertical="top" wrapText="1"/>
    </xf>
    <xf numFmtId="0" fontId="6" fillId="0" borderId="0" xfId="1" quotePrefix="1" applyFont="1" applyFill="1" applyAlignment="1">
      <alignment horizontal="center" vertical="top" wrapText="1"/>
    </xf>
    <xf numFmtId="0" fontId="0" fillId="0" borderId="0" xfId="1" applyFont="1" applyAlignment="1">
      <alignment vertical="top" wrapText="1"/>
    </xf>
    <xf numFmtId="0" fontId="6" fillId="0" borderId="0" xfId="1" applyFont="1" applyFill="1" applyAlignment="1">
      <alignment horizontal="center" vertical="top" wrapText="1"/>
    </xf>
    <xf numFmtId="164" fontId="0" fillId="0" borderId="0" xfId="1" applyNumberFormat="1" applyFont="1" applyFill="1" applyAlignment="1">
      <alignment horizontal="right"/>
    </xf>
    <xf numFmtId="0" fontId="1" fillId="0" borderId="0" xfId="1" applyFont="1" applyFill="1"/>
    <xf numFmtId="164" fontId="3" fillId="0" borderId="0" xfId="2" applyNumberFormat="1" applyFont="1" applyFill="1" applyAlignment="1">
      <alignment horizontal="right"/>
    </xf>
    <xf numFmtId="164" fontId="3" fillId="0" borderId="0" xfId="1" applyNumberFormat="1" applyFont="1" applyAlignment="1">
      <alignment horizontal="right"/>
    </xf>
    <xf numFmtId="164" fontId="3" fillId="0" borderId="0" xfId="1" applyNumberFormat="1" applyFont="1"/>
    <xf numFmtId="165" fontId="0" fillId="0" borderId="0" xfId="1" applyNumberFormat="1" applyFont="1" applyAlignment="1">
      <alignment horizontal="right"/>
    </xf>
    <xf numFmtId="0" fontId="3" fillId="0" borderId="0" xfId="0" applyFont="1"/>
    <xf numFmtId="164" fontId="3" fillId="0" borderId="0" xfId="1" applyNumberFormat="1" applyFont="1" applyFill="1" applyAlignment="1">
      <alignment horizontal="right"/>
    </xf>
    <xf numFmtId="165" fontId="3" fillId="0" borderId="0" xfId="1" applyNumberFormat="1" applyFont="1" applyAlignment="1">
      <alignment horizontal="right"/>
    </xf>
    <xf numFmtId="0" fontId="2" fillId="0" borderId="1" xfId="1" applyFont="1" applyBorder="1" applyAlignment="1">
      <alignment horizontal="left" wrapText="1"/>
    </xf>
    <xf numFmtId="0" fontId="2" fillId="0" borderId="2" xfId="1" applyFont="1" applyBorder="1" applyAlignment="1">
      <alignment horizontal="left" wrapText="1"/>
    </xf>
    <xf numFmtId="0" fontId="0" fillId="0" borderId="0" xfId="1" applyFont="1" applyAlignment="1">
      <alignment vertical="top" wrapText="1"/>
    </xf>
    <xf numFmtId="0" fontId="3" fillId="0" borderId="0" xfId="1" applyFont="1" applyAlignment="1">
      <alignment vertical="top" wrapText="1"/>
    </xf>
    <xf numFmtId="0" fontId="3" fillId="0" borderId="0" xfId="1" applyFont="1" applyAlignment="1">
      <alignment horizontal="left" vertical="top" wrapText="1"/>
    </xf>
  </cellXfs>
  <cellStyles count="3">
    <cellStyle name="Excel.Chart" xfId="2" xr:uid="{68FFB6A0-C07E-4B1D-9031-4BD12499BAF1}"/>
    <cellStyle name="Motif" xfId="1" xr:uid="{00000000-0005-0000-0000-000000000000}"/>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21B5C-960C-468F-86FA-885641310A90}">
  <dimension ref="A1:BX296"/>
  <sheetViews>
    <sheetView showZeros="0" tabSelected="1" zoomScaleNormal="100" workbookViewId="0">
      <pane xSplit="2" ySplit="3" topLeftCell="M4" activePane="bottomRight" state="frozen"/>
      <selection pane="topRight" activeCell="C1" sqref="C1"/>
      <selection pane="bottomLeft" activeCell="A4" sqref="A4"/>
      <selection pane="bottomRight" activeCell="U16" sqref="U16"/>
    </sheetView>
  </sheetViews>
  <sheetFormatPr baseColWidth="10" defaultRowHeight="12.75" x14ac:dyDescent="0.2"/>
  <cols>
    <col min="1" max="1" width="8.7109375" customWidth="1"/>
    <col min="2" max="2" width="75.28515625" bestFit="1" customWidth="1"/>
    <col min="17" max="17" width="11.42578125" style="24"/>
  </cols>
  <sheetData>
    <row r="1" spans="1:76" x14ac:dyDescent="0.2">
      <c r="A1" s="2" t="s">
        <v>0</v>
      </c>
    </row>
    <row r="3" spans="1:76" x14ac:dyDescent="0.2">
      <c r="C3" s="19">
        <v>2009</v>
      </c>
      <c r="D3" s="19">
        <v>2010</v>
      </c>
      <c r="E3" s="19">
        <v>2011</v>
      </c>
      <c r="F3" s="19">
        <v>2012</v>
      </c>
      <c r="G3" s="19">
        <v>2013</v>
      </c>
      <c r="H3" s="19">
        <v>2014</v>
      </c>
      <c r="I3" s="19">
        <v>2015</v>
      </c>
      <c r="J3" s="19">
        <v>2016</v>
      </c>
      <c r="K3" s="19">
        <v>2017</v>
      </c>
      <c r="L3" s="19">
        <v>2018</v>
      </c>
      <c r="M3" s="19">
        <v>2019</v>
      </c>
      <c r="N3" s="19">
        <v>2020</v>
      </c>
      <c r="O3" s="19">
        <v>2021</v>
      </c>
      <c r="P3" s="2">
        <v>2022</v>
      </c>
      <c r="Q3" s="2">
        <v>2023</v>
      </c>
      <c r="R3" s="2">
        <v>2024</v>
      </c>
      <c r="S3" s="2">
        <v>2025</v>
      </c>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c r="BV3" s="2"/>
      <c r="BW3" s="2"/>
      <c r="BX3" s="2"/>
    </row>
    <row r="4" spans="1:76" s="3" customFormat="1" x14ac:dyDescent="0.2">
      <c r="A4"/>
      <c r="B4" s="1" t="s">
        <v>1</v>
      </c>
      <c r="C4" s="18"/>
      <c r="D4" s="18"/>
      <c r="E4" s="18"/>
      <c r="F4" s="18"/>
      <c r="G4" s="18"/>
      <c r="H4" s="18"/>
      <c r="I4" s="18"/>
      <c r="J4" s="18"/>
      <c r="K4" s="18"/>
      <c r="L4" s="18"/>
      <c r="Q4" s="21"/>
    </row>
    <row r="5" spans="1:76" s="3" customFormat="1" x14ac:dyDescent="0.2">
      <c r="A5"/>
      <c r="B5" s="1" t="s">
        <v>2</v>
      </c>
      <c r="C5" s="18">
        <v>142.80000000000001</v>
      </c>
      <c r="D5" s="18">
        <v>142.80000000000001</v>
      </c>
      <c r="E5" s="18">
        <v>109.4</v>
      </c>
      <c r="F5" s="18">
        <v>108</v>
      </c>
      <c r="G5" s="18">
        <v>104.7</v>
      </c>
      <c r="H5" s="18">
        <v>98.5</v>
      </c>
      <c r="I5" s="18">
        <v>85.7</v>
      </c>
      <c r="J5" s="18">
        <v>84</v>
      </c>
      <c r="K5" s="18">
        <v>77.099999999999994</v>
      </c>
      <c r="L5" s="18">
        <v>54.6</v>
      </c>
      <c r="M5" s="18">
        <v>58.2</v>
      </c>
      <c r="N5" s="18">
        <v>207.1</v>
      </c>
      <c r="O5" s="18">
        <v>165.1</v>
      </c>
      <c r="P5" s="18">
        <v>125.9</v>
      </c>
      <c r="Q5" s="25">
        <v>151.9</v>
      </c>
      <c r="R5" s="3">
        <v>169.1</v>
      </c>
      <c r="S5" s="3">
        <v>152.5</v>
      </c>
    </row>
    <row r="6" spans="1:76" s="3" customFormat="1" x14ac:dyDescent="0.2">
      <c r="A6"/>
      <c r="B6" s="1" t="s">
        <v>1</v>
      </c>
      <c r="C6" s="18">
        <v>0</v>
      </c>
      <c r="D6" s="18">
        <v>0</v>
      </c>
      <c r="E6" s="18">
        <v>0</v>
      </c>
      <c r="F6" s="18">
        <v>0</v>
      </c>
      <c r="G6" s="18">
        <v>0</v>
      </c>
      <c r="H6" s="18">
        <v>0</v>
      </c>
      <c r="I6" s="18">
        <v>0</v>
      </c>
      <c r="J6" s="18">
        <v>0</v>
      </c>
      <c r="K6" s="18">
        <v>0</v>
      </c>
      <c r="L6" s="18">
        <v>0</v>
      </c>
      <c r="M6" s="3">
        <v>0</v>
      </c>
      <c r="N6" s="3">
        <v>0</v>
      </c>
      <c r="O6" s="3">
        <v>0</v>
      </c>
      <c r="P6" s="3">
        <v>0</v>
      </c>
      <c r="Q6" s="21"/>
    </row>
    <row r="7" spans="1:76" s="3" customFormat="1" x14ac:dyDescent="0.2">
      <c r="A7"/>
      <c r="B7" s="1" t="s">
        <v>3</v>
      </c>
      <c r="C7" s="18">
        <v>95.6</v>
      </c>
      <c r="D7" s="18">
        <v>-34.4</v>
      </c>
      <c r="E7" s="18">
        <v>-5.7</v>
      </c>
      <c r="F7" s="18">
        <v>-9</v>
      </c>
      <c r="G7" s="18">
        <v>-1.1000000000000001</v>
      </c>
      <c r="H7" s="18">
        <v>-22</v>
      </c>
      <c r="I7" s="18">
        <v>2</v>
      </c>
      <c r="J7" s="18">
        <v>5.6</v>
      </c>
      <c r="K7" s="18">
        <v>13.2</v>
      </c>
      <c r="L7" s="18">
        <v>8.9</v>
      </c>
      <c r="M7" s="18">
        <v>9.8000000000000007</v>
      </c>
      <c r="N7" s="18">
        <v>79.5</v>
      </c>
      <c r="O7" s="18">
        <v>-0.8</v>
      </c>
      <c r="P7" s="18">
        <f>SUM(P8:P13)</f>
        <v>-28.400000000000002</v>
      </c>
      <c r="Q7" s="3">
        <f t="shared" ref="Q7:R7" si="0">SUM(Q8:Q13)</f>
        <v>-29.800000000000004</v>
      </c>
      <c r="R7" s="3">
        <f t="shared" si="0"/>
        <v>19.600000000000001</v>
      </c>
      <c r="S7" s="3">
        <f>SUM(S8:S13)</f>
        <v>-15</v>
      </c>
    </row>
    <row r="8" spans="1:76" s="3" customFormat="1" x14ac:dyDescent="0.2">
      <c r="A8"/>
      <c r="B8" s="1" t="s">
        <v>4</v>
      </c>
      <c r="C8" s="18">
        <v>16.399999999999999</v>
      </c>
      <c r="D8" s="18">
        <v>-17.7</v>
      </c>
      <c r="E8" s="18">
        <v>16.2</v>
      </c>
      <c r="F8" s="18">
        <v>-3.7</v>
      </c>
      <c r="G8" s="18">
        <v>-9.1</v>
      </c>
      <c r="H8" s="18">
        <v>-1.7</v>
      </c>
      <c r="I8" s="18">
        <v>10.9</v>
      </c>
      <c r="J8" s="18">
        <v>-5.0999999999999996</v>
      </c>
      <c r="K8" s="18">
        <v>16.5</v>
      </c>
      <c r="L8" s="18">
        <v>7.4</v>
      </c>
      <c r="M8" s="3">
        <v>7.3</v>
      </c>
      <c r="N8" s="3">
        <v>79.3</v>
      </c>
      <c r="O8" s="3">
        <v>-3.3</v>
      </c>
      <c r="P8" s="3">
        <v>-31.6</v>
      </c>
      <c r="Q8" s="3">
        <v>-47</v>
      </c>
      <c r="R8" s="3">
        <v>14.3</v>
      </c>
      <c r="S8" s="3">
        <v>-20</v>
      </c>
    </row>
    <row r="9" spans="1:76" s="3" customFormat="1" x14ac:dyDescent="0.2">
      <c r="A9"/>
      <c r="B9" s="1" t="s">
        <v>5</v>
      </c>
      <c r="C9" s="18">
        <v>-7.7</v>
      </c>
      <c r="D9" s="18">
        <v>-0.9</v>
      </c>
      <c r="E9" s="18">
        <v>-5.8</v>
      </c>
      <c r="F9" s="18">
        <v>-8.1999999999999993</v>
      </c>
      <c r="G9" s="18">
        <v>1.5</v>
      </c>
      <c r="H9" s="18">
        <v>6.4</v>
      </c>
      <c r="I9" s="18">
        <v>-6.1</v>
      </c>
      <c r="J9" s="18">
        <v>5.8</v>
      </c>
      <c r="K9" s="18">
        <v>-0.1</v>
      </c>
      <c r="L9" s="18">
        <v>-4.4000000000000004</v>
      </c>
      <c r="M9" s="3">
        <v>-0.6</v>
      </c>
      <c r="N9" s="3">
        <v>-2.2999999999999998</v>
      </c>
      <c r="O9" s="3">
        <v>4.5</v>
      </c>
      <c r="P9" s="3">
        <v>2.2999999999999998</v>
      </c>
      <c r="Q9" s="3">
        <v>1.3</v>
      </c>
      <c r="R9" s="3">
        <v>-3.6</v>
      </c>
      <c r="S9" s="3">
        <v>-0.8</v>
      </c>
    </row>
    <row r="10" spans="1:76" s="3" customFormat="1" x14ac:dyDescent="0.2">
      <c r="A10"/>
      <c r="B10" s="1" t="s">
        <v>6</v>
      </c>
      <c r="C10" s="18">
        <v>74</v>
      </c>
      <c r="D10" s="18">
        <v>-10.3</v>
      </c>
      <c r="E10" s="18">
        <v>-11.5</v>
      </c>
      <c r="F10" s="18">
        <v>-3.9</v>
      </c>
      <c r="G10" s="18">
        <v>7.2</v>
      </c>
      <c r="H10" s="18">
        <v>-23.5</v>
      </c>
      <c r="I10" s="18">
        <v>-3.4</v>
      </c>
      <c r="J10" s="18">
        <v>-1.7</v>
      </c>
      <c r="K10" s="18">
        <v>-1.5</v>
      </c>
      <c r="L10" s="18">
        <v>-1</v>
      </c>
      <c r="M10" s="3">
        <v>0.4</v>
      </c>
      <c r="N10" s="3">
        <v>5.2</v>
      </c>
      <c r="O10" s="3">
        <v>-1.1000000000000001</v>
      </c>
      <c r="P10" s="3">
        <v>2</v>
      </c>
      <c r="Q10" s="3">
        <v>1</v>
      </c>
      <c r="R10" s="3">
        <v>-1.6</v>
      </c>
      <c r="S10" s="3">
        <v>-2.2000000000000002</v>
      </c>
    </row>
    <row r="11" spans="1:76" s="3" customFormat="1" x14ac:dyDescent="0.2">
      <c r="A11"/>
      <c r="B11" s="1" t="s">
        <v>7</v>
      </c>
      <c r="C11" s="18">
        <v>11.5</v>
      </c>
      <c r="D11" s="18">
        <v>-7.3</v>
      </c>
      <c r="E11" s="18">
        <v>-5.4</v>
      </c>
      <c r="F11" s="18">
        <v>5.9</v>
      </c>
      <c r="G11" s="18">
        <v>-0.4</v>
      </c>
      <c r="H11" s="18">
        <v>-3.8</v>
      </c>
      <c r="I11" s="18">
        <v>-0.4</v>
      </c>
      <c r="J11" s="18">
        <v>6.2</v>
      </c>
      <c r="K11" s="18">
        <v>-1.9</v>
      </c>
      <c r="L11" s="18">
        <v>5.8</v>
      </c>
      <c r="M11" s="3">
        <v>1.6</v>
      </c>
      <c r="N11" s="3">
        <v>-3.6</v>
      </c>
      <c r="O11" s="3">
        <v>-1</v>
      </c>
      <c r="P11" s="3">
        <v>-2</v>
      </c>
      <c r="Q11" s="3">
        <v>14.3</v>
      </c>
      <c r="R11" s="3">
        <v>10</v>
      </c>
      <c r="S11" s="3">
        <v>7.9</v>
      </c>
    </row>
    <row r="12" spans="1:76" s="3" customFormat="1" x14ac:dyDescent="0.2">
      <c r="A12"/>
      <c r="B12" s="1" t="s">
        <v>8</v>
      </c>
      <c r="C12" s="18">
        <v>1</v>
      </c>
      <c r="D12" s="18">
        <v>1.7</v>
      </c>
      <c r="E12" s="18">
        <v>0.8</v>
      </c>
      <c r="F12" s="18">
        <v>0.9</v>
      </c>
      <c r="G12" s="18">
        <v>-0.2</v>
      </c>
      <c r="H12" s="18">
        <v>0.5</v>
      </c>
      <c r="I12" s="18">
        <v>1</v>
      </c>
      <c r="J12" s="18">
        <v>0.5</v>
      </c>
      <c r="K12" s="18">
        <v>-0.2</v>
      </c>
      <c r="L12" s="18">
        <v>1.2</v>
      </c>
      <c r="M12" s="3">
        <v>0.8</v>
      </c>
      <c r="N12" s="3">
        <v>0.5</v>
      </c>
      <c r="O12" s="3">
        <v>0.3</v>
      </c>
      <c r="P12" s="3">
        <v>1.2</v>
      </c>
      <c r="Q12" s="3">
        <v>0.2</v>
      </c>
      <c r="R12" s="3">
        <v>0.3</v>
      </c>
      <c r="S12" s="3">
        <v>0</v>
      </c>
    </row>
    <row r="13" spans="1:76" s="3" customFormat="1" x14ac:dyDescent="0.2">
      <c r="A13"/>
      <c r="B13" s="1" t="s">
        <v>58</v>
      </c>
      <c r="C13" s="18">
        <v>0.4</v>
      </c>
      <c r="D13" s="18">
        <v>0.2</v>
      </c>
      <c r="E13" s="18">
        <v>-0.1</v>
      </c>
      <c r="F13" s="18">
        <v>0</v>
      </c>
      <c r="G13" s="18">
        <v>-0.1</v>
      </c>
      <c r="H13" s="18">
        <v>0.2</v>
      </c>
      <c r="I13" s="18">
        <v>0.1</v>
      </c>
      <c r="J13" s="18">
        <v>-0.2</v>
      </c>
      <c r="K13" s="18">
        <v>0.4</v>
      </c>
      <c r="L13" s="18">
        <v>0</v>
      </c>
      <c r="M13" s="3">
        <v>0.2</v>
      </c>
      <c r="N13" s="3">
        <v>0.4</v>
      </c>
      <c r="O13" s="3">
        <v>-0.2</v>
      </c>
      <c r="P13" s="3">
        <v>-0.3</v>
      </c>
      <c r="Q13" s="3">
        <v>0.4</v>
      </c>
      <c r="R13" s="3">
        <v>0.2</v>
      </c>
      <c r="S13" s="3">
        <v>0.1</v>
      </c>
    </row>
    <row r="14" spans="1:76" s="3" customFormat="1" x14ac:dyDescent="0.2">
      <c r="A14"/>
      <c r="B14" s="1" t="s">
        <v>1</v>
      </c>
      <c r="C14" s="18">
        <v>0</v>
      </c>
      <c r="D14" s="18">
        <v>0</v>
      </c>
      <c r="E14" s="18">
        <v>0</v>
      </c>
      <c r="F14" s="18">
        <v>0</v>
      </c>
      <c r="G14" s="18">
        <v>0</v>
      </c>
      <c r="H14" s="18">
        <v>0</v>
      </c>
      <c r="I14" s="18">
        <v>0</v>
      </c>
      <c r="J14" s="18">
        <v>0</v>
      </c>
      <c r="K14" s="18">
        <v>0</v>
      </c>
      <c r="L14" s="18">
        <v>0</v>
      </c>
      <c r="M14" s="3">
        <v>0</v>
      </c>
      <c r="N14" s="3">
        <v>0</v>
      </c>
      <c r="O14" s="3">
        <v>0</v>
      </c>
      <c r="P14" s="3">
        <v>0</v>
      </c>
      <c r="Q14" s="21"/>
    </row>
    <row r="15" spans="1:76" s="3" customFormat="1" x14ac:dyDescent="0.2">
      <c r="A15"/>
      <c r="B15" s="22" t="s">
        <v>9</v>
      </c>
      <c r="C15" s="18">
        <v>-8.8000000000000007</v>
      </c>
      <c r="D15" s="18">
        <v>-10.1</v>
      </c>
      <c r="E15" s="18">
        <v>-2.6</v>
      </c>
      <c r="F15" s="18">
        <v>-9.1</v>
      </c>
      <c r="G15" s="18">
        <v>-4</v>
      </c>
      <c r="H15" s="18">
        <v>-4.7</v>
      </c>
      <c r="I15" s="18">
        <v>-17.7</v>
      </c>
      <c r="J15" s="18">
        <v>-12.4</v>
      </c>
      <c r="K15" s="18">
        <v>-4.7</v>
      </c>
      <c r="L15" s="18">
        <v>-4.4000000000000004</v>
      </c>
      <c r="M15" s="18">
        <v>-12.7</v>
      </c>
      <c r="N15" s="18">
        <v>-26.4</v>
      </c>
      <c r="O15" s="18">
        <v>1.7</v>
      </c>
      <c r="P15" s="18">
        <f>SUM(P16:P17)</f>
        <v>24.6</v>
      </c>
      <c r="Q15" s="3">
        <f t="shared" ref="Q15:R15" si="1">Q16+Q17</f>
        <v>28.3</v>
      </c>
      <c r="R15" s="3">
        <f t="shared" si="1"/>
        <v>20.5</v>
      </c>
      <c r="S15" s="3">
        <f>S16+S17</f>
        <v>7.9</v>
      </c>
    </row>
    <row r="16" spans="1:76" s="3" customFormat="1" x14ac:dyDescent="0.2">
      <c r="A16"/>
      <c r="B16" s="1" t="s">
        <v>57</v>
      </c>
      <c r="C16" s="18">
        <v>-7</v>
      </c>
      <c r="D16" s="18">
        <v>-8.5</v>
      </c>
      <c r="E16" s="18">
        <v>-1.2</v>
      </c>
      <c r="F16" s="18">
        <v>-8.1</v>
      </c>
      <c r="G16" s="18">
        <v>-2.9</v>
      </c>
      <c r="H16" s="18">
        <v>-3.9</v>
      </c>
      <c r="I16" s="3">
        <v>-18</v>
      </c>
      <c r="J16" s="3">
        <v>-13.9</v>
      </c>
      <c r="K16" s="3">
        <v>-3</v>
      </c>
      <c r="L16" s="3">
        <v>-4.0999999999999996</v>
      </c>
      <c r="M16" s="3">
        <v>-12.6</v>
      </c>
      <c r="N16" s="3">
        <v>-21.3</v>
      </c>
      <c r="O16" s="3">
        <v>-4.5999999999999996</v>
      </c>
      <c r="P16" s="3">
        <v>26.6</v>
      </c>
      <c r="Q16" s="21">
        <v>30.1</v>
      </c>
      <c r="R16" s="3">
        <v>17.7</v>
      </c>
      <c r="S16" s="21">
        <v>15</v>
      </c>
    </row>
    <row r="17" spans="1:19" s="3" customFormat="1" x14ac:dyDescent="0.2">
      <c r="A17"/>
      <c r="B17" s="22" t="s">
        <v>60</v>
      </c>
      <c r="C17" s="18">
        <v>-1.8</v>
      </c>
      <c r="D17" s="18">
        <v>-1.6</v>
      </c>
      <c r="E17" s="18">
        <v>-1.3</v>
      </c>
      <c r="F17" s="18">
        <v>-1</v>
      </c>
      <c r="G17" s="18">
        <v>-1.1000000000000001</v>
      </c>
      <c r="H17" s="18">
        <v>-0.8</v>
      </c>
      <c r="I17" s="18">
        <v>0.2</v>
      </c>
      <c r="J17" s="18">
        <v>1.4</v>
      </c>
      <c r="K17" s="18">
        <v>-1.7</v>
      </c>
      <c r="L17" s="18">
        <v>-0.3</v>
      </c>
      <c r="M17" s="18">
        <v>-0.1</v>
      </c>
      <c r="N17" s="18">
        <v>-5.2</v>
      </c>
      <c r="O17" s="18">
        <v>6.4</v>
      </c>
      <c r="P17" s="18">
        <v>-2</v>
      </c>
      <c r="Q17" s="25">
        <v>-1.8</v>
      </c>
      <c r="R17" s="3">
        <v>2.8</v>
      </c>
      <c r="S17" s="3">
        <v>-7.1</v>
      </c>
    </row>
    <row r="18" spans="1:19" s="3" customFormat="1" x14ac:dyDescent="0.2">
      <c r="A18"/>
      <c r="B18" s="1" t="s">
        <v>1</v>
      </c>
      <c r="C18" s="18">
        <v>0</v>
      </c>
      <c r="D18" s="18">
        <v>0</v>
      </c>
      <c r="E18" s="18">
        <v>0</v>
      </c>
      <c r="F18" s="18">
        <v>0</v>
      </c>
      <c r="G18" s="18">
        <v>0</v>
      </c>
      <c r="H18" s="18">
        <v>0</v>
      </c>
      <c r="I18" s="18">
        <v>0</v>
      </c>
      <c r="J18" s="18">
        <v>0</v>
      </c>
      <c r="K18" s="18">
        <v>0</v>
      </c>
      <c r="L18" s="18">
        <v>0</v>
      </c>
      <c r="M18" s="18">
        <v>0</v>
      </c>
      <c r="N18" s="18">
        <v>0</v>
      </c>
      <c r="O18" s="18">
        <v>0</v>
      </c>
      <c r="P18" s="18"/>
      <c r="Q18" s="25"/>
    </row>
    <row r="19" spans="1:19" s="3" customFormat="1" x14ac:dyDescent="0.2">
      <c r="A19"/>
      <c r="B19" s="1" t="s">
        <v>10</v>
      </c>
      <c r="C19" s="18">
        <v>-1.8</v>
      </c>
      <c r="D19" s="18">
        <v>2.6</v>
      </c>
      <c r="E19" s="18">
        <v>2.1</v>
      </c>
      <c r="F19" s="18">
        <v>-0.9</v>
      </c>
      <c r="G19" s="18">
        <v>4.5999999999999996</v>
      </c>
      <c r="H19" s="18">
        <v>1.6</v>
      </c>
      <c r="I19" s="18">
        <v>1.1000000000000001</v>
      </c>
      <c r="J19" s="18">
        <v>1.2</v>
      </c>
      <c r="K19" s="18">
        <v>1.5</v>
      </c>
      <c r="L19" s="18">
        <v>0.2</v>
      </c>
      <c r="M19" s="18">
        <v>-0.5</v>
      </c>
      <c r="N19" s="18">
        <v>5.8</v>
      </c>
      <c r="O19" s="18">
        <v>-6.4</v>
      </c>
      <c r="P19" s="18">
        <f>SUM(P20:P22)</f>
        <v>1.8</v>
      </c>
      <c r="Q19" s="3">
        <f t="shared" ref="Q19:R19" si="2">SUM(Q20:Q22)</f>
        <v>9.9999999999999867E-2</v>
      </c>
      <c r="R19" s="3">
        <f t="shared" si="2"/>
        <v>-3.9000000000000004</v>
      </c>
      <c r="S19" s="3">
        <f>SUM(S20:S22)</f>
        <v>5.8</v>
      </c>
    </row>
    <row r="20" spans="1:19" s="3" customFormat="1" x14ac:dyDescent="0.2">
      <c r="A20"/>
      <c r="B20" s="1" t="s">
        <v>11</v>
      </c>
      <c r="C20" s="18">
        <v>-2.1</v>
      </c>
      <c r="D20" s="18">
        <v>2</v>
      </c>
      <c r="E20" s="18">
        <v>1.4</v>
      </c>
      <c r="F20" s="18">
        <v>-1.7</v>
      </c>
      <c r="G20" s="18">
        <v>3.9</v>
      </c>
      <c r="H20" s="18">
        <v>0.9</v>
      </c>
      <c r="I20" s="18">
        <v>0.1</v>
      </c>
      <c r="J20" s="18">
        <v>0.4</v>
      </c>
      <c r="K20" s="18">
        <v>-0.4</v>
      </c>
      <c r="L20" s="18">
        <v>-0.2</v>
      </c>
      <c r="M20" s="3">
        <v>-1.2</v>
      </c>
      <c r="N20" s="3">
        <v>1</v>
      </c>
      <c r="O20" s="3">
        <v>0.3</v>
      </c>
      <c r="P20" s="3">
        <v>0.5</v>
      </c>
      <c r="Q20" s="21">
        <v>-0.5</v>
      </c>
      <c r="R20" s="3">
        <v>0.4</v>
      </c>
      <c r="S20" s="3">
        <v>0</v>
      </c>
    </row>
    <row r="21" spans="1:19" s="3" customFormat="1" x14ac:dyDescent="0.2">
      <c r="A21"/>
      <c r="B21" s="1" t="s">
        <v>12</v>
      </c>
      <c r="C21" s="18">
        <v>0</v>
      </c>
      <c r="D21" s="18">
        <v>0</v>
      </c>
      <c r="E21" s="18">
        <v>0</v>
      </c>
      <c r="F21" s="18">
        <v>0</v>
      </c>
      <c r="G21" s="18">
        <v>0</v>
      </c>
      <c r="H21" s="18">
        <v>0</v>
      </c>
      <c r="I21" s="18">
        <v>0</v>
      </c>
      <c r="J21" s="18">
        <v>0</v>
      </c>
      <c r="K21" s="3">
        <v>1.1000000000000001</v>
      </c>
      <c r="L21" s="3">
        <v>-0.1</v>
      </c>
      <c r="M21" s="3">
        <v>-0.5</v>
      </c>
      <c r="N21" s="3">
        <v>4.2</v>
      </c>
      <c r="O21" s="3">
        <v>-7.1</v>
      </c>
      <c r="P21" s="3">
        <v>1.2</v>
      </c>
      <c r="Q21" s="25">
        <v>1.4</v>
      </c>
      <c r="R21" s="3">
        <v>-3.6</v>
      </c>
      <c r="S21" s="3">
        <v>6</v>
      </c>
    </row>
    <row r="22" spans="1:19" s="3" customFormat="1" x14ac:dyDescent="0.2">
      <c r="A22"/>
      <c r="B22" s="1" t="s">
        <v>13</v>
      </c>
      <c r="C22" s="18">
        <v>0.3</v>
      </c>
      <c r="D22" s="18">
        <v>0.6</v>
      </c>
      <c r="E22" s="18">
        <v>0.7</v>
      </c>
      <c r="F22" s="18">
        <v>0.9</v>
      </c>
      <c r="G22" s="18">
        <v>0.7</v>
      </c>
      <c r="H22" s="18">
        <v>0.7</v>
      </c>
      <c r="I22" s="18">
        <v>1</v>
      </c>
      <c r="J22" s="18">
        <v>0.8</v>
      </c>
      <c r="K22" s="18">
        <v>0.9</v>
      </c>
      <c r="L22" s="18">
        <v>0.5</v>
      </c>
      <c r="M22" s="3">
        <v>1.3</v>
      </c>
      <c r="N22" s="3">
        <v>0.5</v>
      </c>
      <c r="O22" s="3">
        <v>0.3</v>
      </c>
      <c r="P22" s="3">
        <v>0.1</v>
      </c>
      <c r="Q22" s="25">
        <v>-0.8</v>
      </c>
      <c r="R22" s="3">
        <v>-0.7</v>
      </c>
      <c r="S22" s="21">
        <v>-0.2</v>
      </c>
    </row>
    <row r="23" spans="1:19" s="3" customFormat="1" x14ac:dyDescent="0.2">
      <c r="A23"/>
      <c r="B23" s="1" t="s">
        <v>1</v>
      </c>
      <c r="C23" s="18">
        <v>0</v>
      </c>
      <c r="D23" s="18">
        <v>0</v>
      </c>
      <c r="E23" s="18">
        <v>0</v>
      </c>
      <c r="F23" s="18">
        <v>0</v>
      </c>
      <c r="G23" s="18">
        <v>0</v>
      </c>
      <c r="H23" s="18">
        <v>0</v>
      </c>
      <c r="I23" s="18">
        <v>0</v>
      </c>
      <c r="J23" s="18">
        <v>0</v>
      </c>
      <c r="K23" s="18">
        <v>0</v>
      </c>
      <c r="L23" s="18">
        <v>0</v>
      </c>
      <c r="M23" s="3">
        <v>0</v>
      </c>
      <c r="N23" s="3">
        <v>0</v>
      </c>
      <c r="O23" s="3">
        <v>0</v>
      </c>
      <c r="Q23" s="25"/>
    </row>
    <row r="24" spans="1:19" s="3" customFormat="1" x14ac:dyDescent="0.2">
      <c r="A24"/>
      <c r="B24" s="1" t="s">
        <v>14</v>
      </c>
      <c r="C24" s="18">
        <v>9.3000000000000007</v>
      </c>
      <c r="D24" s="18">
        <v>-4.8</v>
      </c>
      <c r="E24" s="18">
        <v>8.8000000000000007</v>
      </c>
      <c r="F24" s="18">
        <v>-1.9</v>
      </c>
      <c r="G24" s="18">
        <v>-11.7</v>
      </c>
      <c r="H24" s="18">
        <v>-7.3</v>
      </c>
      <c r="I24" s="18">
        <v>-5.2</v>
      </c>
      <c r="J24" s="18">
        <v>-25.1</v>
      </c>
      <c r="K24" s="18">
        <v>-14.2</v>
      </c>
      <c r="L24" s="18">
        <v>-1</v>
      </c>
      <c r="M24" s="3">
        <v>14.4</v>
      </c>
      <c r="N24" s="3">
        <v>12.7</v>
      </c>
      <c r="O24" s="3">
        <v>8.8000000000000007</v>
      </c>
      <c r="P24" s="3">
        <v>4.8</v>
      </c>
      <c r="Q24" s="25">
        <v>-5.3</v>
      </c>
      <c r="R24" s="3">
        <v>-1.5</v>
      </c>
      <c r="S24" s="3">
        <v>5</v>
      </c>
    </row>
    <row r="25" spans="1:19" s="3" customFormat="1" x14ac:dyDescent="0.2">
      <c r="A25"/>
      <c r="B25" s="1" t="s">
        <v>1</v>
      </c>
      <c r="C25" s="18">
        <v>0</v>
      </c>
      <c r="D25" s="18">
        <v>0</v>
      </c>
      <c r="E25" s="18">
        <v>0</v>
      </c>
      <c r="F25" s="18">
        <v>0</v>
      </c>
      <c r="G25" s="18">
        <v>0</v>
      </c>
      <c r="H25" s="18">
        <v>0</v>
      </c>
      <c r="I25" s="18">
        <v>0</v>
      </c>
      <c r="J25" s="18">
        <v>0</v>
      </c>
      <c r="K25" s="18">
        <v>0</v>
      </c>
      <c r="L25" s="18">
        <v>0</v>
      </c>
      <c r="M25" s="3">
        <v>0</v>
      </c>
      <c r="N25" s="3">
        <v>0</v>
      </c>
      <c r="O25" s="3">
        <v>0</v>
      </c>
      <c r="Q25" s="25"/>
    </row>
    <row r="26" spans="1:19" s="3" customFormat="1" x14ac:dyDescent="0.2">
      <c r="A26"/>
      <c r="B26" s="1" t="s">
        <v>15</v>
      </c>
      <c r="C26" s="18">
        <f t="shared" ref="C26:F26" si="3">C28-C24-C19-C15-C7-C5</f>
        <v>0.70000000000001705</v>
      </c>
      <c r="D26" s="18">
        <f t="shared" si="3"/>
        <v>-1.1000000000000227</v>
      </c>
      <c r="E26" s="18">
        <f t="shared" si="3"/>
        <v>-4.0999999999999943</v>
      </c>
      <c r="F26" s="18">
        <f t="shared" si="3"/>
        <v>-1.3999999999999915</v>
      </c>
      <c r="G26" s="18">
        <f t="shared" ref="G26:O26" si="4">G28-G24-G19-G15-G7-G5</f>
        <v>-3.4000000000000057</v>
      </c>
      <c r="H26" s="18">
        <f t="shared" si="4"/>
        <v>0.70000000000000284</v>
      </c>
      <c r="I26" s="18">
        <f t="shared" si="4"/>
        <v>-2.0999999999999943</v>
      </c>
      <c r="J26" s="18">
        <f t="shared" si="4"/>
        <v>2.4000000000000199</v>
      </c>
      <c r="K26" s="18">
        <f t="shared" si="4"/>
        <v>-9.9999999999994316E-2</v>
      </c>
      <c r="L26" s="18">
        <f t="shared" si="4"/>
        <v>-0.80000000000000426</v>
      </c>
      <c r="M26" s="18">
        <f t="shared" si="4"/>
        <v>-2.5</v>
      </c>
      <c r="N26" s="18">
        <f t="shared" si="4"/>
        <v>-2.2000000000000171</v>
      </c>
      <c r="O26" s="18">
        <f t="shared" si="4"/>
        <v>-3.4999999999999716</v>
      </c>
      <c r="P26" s="18">
        <f>P28-P24-P19-P15-P7-P5</f>
        <v>-1.7999999999999829</v>
      </c>
      <c r="Q26" s="3">
        <f t="shared" ref="Q26:R26" si="5">Q28-Q5-Q7-Q15-Q19-Q24</f>
        <v>2.3999999999999924</v>
      </c>
      <c r="R26" s="3">
        <f t="shared" si="5"/>
        <v>-0.99999999999998401</v>
      </c>
      <c r="S26" s="3">
        <f>S28-S5-S7-S15-S19-S24</f>
        <v>-1.7999999999999945</v>
      </c>
    </row>
    <row r="27" spans="1:19" s="3" customFormat="1" x14ac:dyDescent="0.2">
      <c r="A27"/>
      <c r="B27" s="1"/>
      <c r="C27" s="18">
        <v>0</v>
      </c>
      <c r="D27" s="18">
        <v>0</v>
      </c>
      <c r="E27" s="18">
        <v>0</v>
      </c>
      <c r="F27" s="18">
        <v>0</v>
      </c>
      <c r="G27" s="18">
        <v>0</v>
      </c>
      <c r="H27" s="18">
        <v>0</v>
      </c>
      <c r="I27" s="18">
        <v>0</v>
      </c>
      <c r="J27" s="18">
        <v>0</v>
      </c>
      <c r="K27" s="18">
        <v>0</v>
      </c>
      <c r="L27" s="18">
        <v>0</v>
      </c>
      <c r="M27" s="3">
        <v>0</v>
      </c>
      <c r="N27" s="3">
        <v>0</v>
      </c>
      <c r="O27" s="3">
        <v>0</v>
      </c>
      <c r="P27" s="3">
        <v>0</v>
      </c>
      <c r="Q27" s="21"/>
    </row>
    <row r="28" spans="1:19" s="3" customFormat="1" x14ac:dyDescent="0.2">
      <c r="A28"/>
      <c r="B28" s="1" t="s">
        <v>16</v>
      </c>
      <c r="C28" s="20">
        <v>237.8</v>
      </c>
      <c r="D28" s="20">
        <v>95</v>
      </c>
      <c r="E28" s="20">
        <v>107.9</v>
      </c>
      <c r="F28" s="20">
        <v>85.7</v>
      </c>
      <c r="G28" s="20">
        <v>89.1</v>
      </c>
      <c r="H28" s="20">
        <v>66.8</v>
      </c>
      <c r="I28" s="20">
        <v>63.8</v>
      </c>
      <c r="J28" s="20">
        <v>55.7</v>
      </c>
      <c r="K28" s="20">
        <v>72.8</v>
      </c>
      <c r="L28" s="20">
        <v>57.5</v>
      </c>
      <c r="M28" s="20">
        <v>66.7</v>
      </c>
      <c r="N28" s="20">
        <v>276.5</v>
      </c>
      <c r="O28" s="20">
        <v>164.9</v>
      </c>
      <c r="P28" s="20">
        <v>126.9</v>
      </c>
      <c r="Q28" s="20">
        <v>147.6</v>
      </c>
      <c r="R28" s="3">
        <v>202.8</v>
      </c>
      <c r="S28" s="3">
        <v>154.4</v>
      </c>
    </row>
    <row r="29" spans="1:19" s="3" customFormat="1" x14ac:dyDescent="0.2">
      <c r="A29"/>
      <c r="B29" s="1"/>
      <c r="C29" s="3">
        <v>0</v>
      </c>
      <c r="D29" s="3">
        <v>0</v>
      </c>
      <c r="E29" s="3">
        <v>0</v>
      </c>
      <c r="F29" s="3">
        <v>0</v>
      </c>
      <c r="G29" s="3">
        <v>0</v>
      </c>
      <c r="H29" s="3">
        <v>0</v>
      </c>
      <c r="I29" s="3">
        <v>0</v>
      </c>
      <c r="J29" s="3">
        <v>0</v>
      </c>
      <c r="K29" s="3">
        <v>0</v>
      </c>
      <c r="L29" s="3">
        <v>0</v>
      </c>
      <c r="M29" s="3">
        <v>0</v>
      </c>
      <c r="N29" s="3">
        <v>0</v>
      </c>
      <c r="O29" s="3">
        <v>0</v>
      </c>
      <c r="P29" s="3">
        <v>0</v>
      </c>
      <c r="Q29" s="21">
        <v>0</v>
      </c>
    </row>
    <row r="30" spans="1:19" s="3" customFormat="1" x14ac:dyDescent="0.2">
      <c r="A30"/>
      <c r="B30" s="1" t="s">
        <v>17</v>
      </c>
      <c r="C30" s="3">
        <v>0</v>
      </c>
      <c r="D30" s="3">
        <v>0</v>
      </c>
      <c r="E30" s="3">
        <v>0</v>
      </c>
      <c r="F30" s="3">
        <v>0</v>
      </c>
      <c r="G30" s="3">
        <v>0</v>
      </c>
      <c r="H30" s="3">
        <v>0</v>
      </c>
      <c r="I30" s="3">
        <v>0</v>
      </c>
      <c r="J30" s="3">
        <v>0</v>
      </c>
      <c r="K30" s="3">
        <v>0</v>
      </c>
      <c r="L30" s="3">
        <v>0</v>
      </c>
      <c r="M30" s="3">
        <v>0</v>
      </c>
      <c r="N30" s="3">
        <v>0</v>
      </c>
      <c r="O30" s="3">
        <v>0</v>
      </c>
      <c r="P30" s="3">
        <v>0</v>
      </c>
      <c r="Q30" s="21">
        <v>0</v>
      </c>
    </row>
    <row r="31" spans="1:19" s="3" customFormat="1" x14ac:dyDescent="0.2">
      <c r="A31"/>
      <c r="B31" s="1"/>
      <c r="C31" s="23"/>
      <c r="D31" s="23"/>
      <c r="E31" s="23"/>
      <c r="F31" s="23"/>
      <c r="G31" s="23"/>
      <c r="H31" s="23"/>
      <c r="I31" s="23"/>
      <c r="J31" s="23"/>
      <c r="K31" s="23"/>
      <c r="L31" s="23"/>
      <c r="M31" s="23"/>
      <c r="N31" s="23"/>
      <c r="O31" s="23"/>
      <c r="P31" s="23"/>
      <c r="Q31" s="23"/>
      <c r="R31" s="23"/>
    </row>
    <row r="32" spans="1:19" s="3" customFormat="1" x14ac:dyDescent="0.2">
      <c r="A32"/>
      <c r="B32" s="22" t="s">
        <v>61</v>
      </c>
      <c r="C32" s="23"/>
      <c r="D32" s="23"/>
      <c r="E32" s="23"/>
      <c r="F32" s="23"/>
      <c r="G32" s="23"/>
      <c r="H32" s="23"/>
      <c r="I32" s="23"/>
      <c r="J32" s="23"/>
      <c r="K32" s="23"/>
      <c r="L32" s="23"/>
      <c r="M32" s="23"/>
      <c r="N32" s="23"/>
      <c r="O32" s="23"/>
      <c r="P32" s="23"/>
      <c r="Q32" s="26"/>
    </row>
    <row r="33" spans="1:17" s="3" customFormat="1" x14ac:dyDescent="0.2">
      <c r="A33"/>
      <c r="B33" s="1"/>
      <c r="C33" s="23"/>
      <c r="D33" s="23"/>
      <c r="E33" s="23"/>
      <c r="F33" s="23"/>
      <c r="G33" s="23"/>
      <c r="H33" s="23"/>
      <c r="I33" s="23"/>
      <c r="J33" s="23"/>
      <c r="K33" s="23"/>
      <c r="L33" s="23"/>
      <c r="M33" s="23"/>
      <c r="N33" s="23"/>
      <c r="O33" s="23"/>
      <c r="P33" s="23"/>
      <c r="Q33" s="26"/>
    </row>
    <row r="34" spans="1:17" s="3" customFormat="1" x14ac:dyDescent="0.2">
      <c r="A34"/>
      <c r="B34" s="1" t="s">
        <v>18</v>
      </c>
      <c r="C34" s="23"/>
      <c r="D34" s="23"/>
      <c r="E34" s="23"/>
      <c r="F34" s="23"/>
      <c r="G34" s="23"/>
      <c r="H34" s="23"/>
      <c r="I34" s="23"/>
      <c r="J34" s="23"/>
      <c r="K34" s="23"/>
      <c r="L34" s="23"/>
      <c r="M34" s="23"/>
      <c r="N34" s="23"/>
      <c r="O34" s="23"/>
      <c r="P34" s="23"/>
      <c r="Q34" s="26"/>
    </row>
    <row r="35" spans="1:17" s="3" customFormat="1" x14ac:dyDescent="0.2">
      <c r="A35"/>
      <c r="B35" s="1"/>
      <c r="C35" s="23"/>
      <c r="D35" s="23"/>
      <c r="E35" s="23"/>
      <c r="F35" s="23"/>
      <c r="G35" s="23"/>
      <c r="H35" s="23"/>
      <c r="I35" s="23"/>
      <c r="J35" s="23"/>
      <c r="K35" s="23"/>
      <c r="L35" s="23"/>
      <c r="M35" s="23"/>
      <c r="N35" s="23"/>
      <c r="O35" s="23"/>
      <c r="P35" s="23"/>
      <c r="Q35" s="26"/>
    </row>
    <row r="36" spans="1:17" s="3" customFormat="1" x14ac:dyDescent="0.2">
      <c r="A36"/>
      <c r="B36" s="1" t="s">
        <v>19</v>
      </c>
      <c r="C36" s="23"/>
      <c r="D36" s="23"/>
      <c r="E36" s="23"/>
      <c r="F36" s="23"/>
      <c r="G36" s="23"/>
      <c r="H36" s="23"/>
      <c r="I36" s="23"/>
      <c r="J36" s="23"/>
      <c r="K36" s="23"/>
      <c r="L36" s="23"/>
      <c r="M36" s="23"/>
      <c r="N36" s="23"/>
      <c r="O36" s="23"/>
      <c r="P36" s="23"/>
      <c r="Q36" s="26"/>
    </row>
    <row r="37" spans="1:17" s="3" customFormat="1" x14ac:dyDescent="0.2">
      <c r="A37"/>
      <c r="B37" s="1"/>
      <c r="C37" s="23"/>
      <c r="D37" s="23"/>
      <c r="E37" s="23"/>
      <c r="F37" s="23"/>
      <c r="G37" s="23"/>
      <c r="H37" s="23"/>
      <c r="I37" s="23"/>
      <c r="J37" s="23"/>
      <c r="K37" s="23"/>
      <c r="L37" s="23"/>
      <c r="M37" s="23"/>
      <c r="N37" s="23"/>
      <c r="O37" s="23"/>
      <c r="P37" s="23"/>
      <c r="Q37" s="26"/>
    </row>
    <row r="38" spans="1:17" s="3" customFormat="1" x14ac:dyDescent="0.2">
      <c r="A38"/>
      <c r="B38" s="1"/>
      <c r="C38" s="23"/>
      <c r="D38" s="23"/>
      <c r="E38" s="23"/>
      <c r="F38" s="23"/>
      <c r="G38" s="23"/>
      <c r="H38" s="23"/>
      <c r="I38" s="23"/>
      <c r="J38" s="23"/>
      <c r="K38" s="23"/>
      <c r="L38" s="23"/>
      <c r="M38" s="23"/>
      <c r="N38" s="23"/>
      <c r="O38" s="23"/>
      <c r="P38" s="23"/>
      <c r="Q38" s="26"/>
    </row>
    <row r="39" spans="1:17" s="3" customFormat="1" x14ac:dyDescent="0.2">
      <c r="A39"/>
      <c r="B39" s="1"/>
      <c r="C39" s="23"/>
      <c r="D39" s="23"/>
      <c r="E39" s="23"/>
      <c r="F39" s="23"/>
      <c r="G39" s="23"/>
      <c r="H39" s="23"/>
      <c r="I39" s="23"/>
      <c r="J39" s="23"/>
      <c r="K39" s="23"/>
      <c r="L39" s="23"/>
      <c r="M39" s="23"/>
      <c r="N39" s="23"/>
      <c r="O39" s="23"/>
      <c r="P39" s="23"/>
      <c r="Q39" s="26"/>
    </row>
    <row r="40" spans="1:17" s="3" customFormat="1" x14ac:dyDescent="0.2">
      <c r="A40"/>
      <c r="B40" s="1"/>
      <c r="C40" s="23"/>
      <c r="D40" s="23"/>
      <c r="E40" s="23"/>
      <c r="F40" s="23"/>
      <c r="G40" s="23"/>
      <c r="H40" s="23"/>
      <c r="I40" s="23"/>
      <c r="J40" s="23"/>
      <c r="K40" s="23"/>
      <c r="L40" s="23"/>
      <c r="M40" s="23"/>
      <c r="N40" s="23"/>
      <c r="O40" s="23"/>
      <c r="P40" s="23"/>
      <c r="Q40" s="26"/>
    </row>
    <row r="41" spans="1:17" s="3" customFormat="1" x14ac:dyDescent="0.2">
      <c r="A41"/>
      <c r="B41" s="1"/>
      <c r="C41" s="23"/>
      <c r="D41" s="23"/>
      <c r="E41" s="23"/>
      <c r="F41" s="23"/>
      <c r="G41" s="23"/>
      <c r="H41" s="23"/>
      <c r="I41" s="23"/>
      <c r="J41" s="23"/>
      <c r="K41" s="23"/>
      <c r="L41" s="23"/>
      <c r="M41" s="23"/>
      <c r="N41" s="23"/>
      <c r="O41" s="23"/>
      <c r="P41" s="23"/>
      <c r="Q41" s="26"/>
    </row>
    <row r="42" spans="1:17" s="3" customFormat="1" x14ac:dyDescent="0.2">
      <c r="A42"/>
      <c r="B42" s="1"/>
      <c r="C42" s="23"/>
      <c r="D42" s="23"/>
      <c r="E42" s="23"/>
      <c r="F42" s="23"/>
      <c r="G42" s="23"/>
      <c r="H42" s="23"/>
      <c r="I42" s="23"/>
      <c r="J42" s="23"/>
      <c r="K42" s="23"/>
      <c r="L42" s="23"/>
      <c r="M42" s="23"/>
      <c r="N42" s="23"/>
      <c r="O42" s="23"/>
      <c r="P42" s="23"/>
      <c r="Q42" s="26"/>
    </row>
    <row r="43" spans="1:17" s="3" customFormat="1" x14ac:dyDescent="0.2">
      <c r="A43"/>
      <c r="B43" s="1"/>
      <c r="C43" s="23"/>
      <c r="D43" s="23"/>
      <c r="E43" s="23"/>
      <c r="F43" s="23"/>
      <c r="G43" s="23"/>
      <c r="H43" s="23"/>
      <c r="I43" s="23"/>
      <c r="J43" s="23"/>
      <c r="K43" s="23"/>
      <c r="L43" s="23"/>
      <c r="M43" s="23"/>
      <c r="N43" s="23"/>
      <c r="O43" s="23"/>
      <c r="P43" s="23"/>
      <c r="Q43" s="26"/>
    </row>
    <row r="44" spans="1:17" s="3" customFormat="1" x14ac:dyDescent="0.2">
      <c r="A44"/>
      <c r="B44" s="1"/>
      <c r="C44" s="23"/>
      <c r="D44" s="23"/>
      <c r="E44" s="23"/>
      <c r="F44" s="23"/>
      <c r="G44" s="23"/>
      <c r="H44" s="23"/>
      <c r="I44" s="23"/>
      <c r="J44" s="23"/>
      <c r="K44" s="23"/>
      <c r="L44" s="23"/>
      <c r="M44" s="23"/>
      <c r="N44" s="23"/>
      <c r="O44" s="23"/>
      <c r="P44" s="23"/>
      <c r="Q44" s="26"/>
    </row>
    <row r="45" spans="1:17" s="3" customFormat="1" x14ac:dyDescent="0.2">
      <c r="A45"/>
      <c r="B45" s="1"/>
      <c r="C45" s="23"/>
      <c r="D45" s="23"/>
      <c r="E45" s="23"/>
      <c r="F45" s="23"/>
      <c r="G45" s="23"/>
      <c r="H45" s="23"/>
      <c r="I45" s="23"/>
      <c r="J45" s="23"/>
      <c r="K45" s="23"/>
      <c r="L45" s="23"/>
      <c r="M45" s="23"/>
      <c r="N45" s="23"/>
      <c r="O45" s="23"/>
      <c r="P45" s="23"/>
      <c r="Q45" s="26"/>
    </row>
    <row r="46" spans="1:17" s="3" customFormat="1" x14ac:dyDescent="0.2">
      <c r="A46"/>
      <c r="B46" s="1"/>
      <c r="C46" s="23"/>
      <c r="D46" s="23"/>
      <c r="E46" s="23"/>
      <c r="F46" s="23"/>
      <c r="G46" s="23"/>
      <c r="H46" s="23"/>
      <c r="I46" s="23"/>
      <c r="J46" s="23"/>
      <c r="K46" s="23"/>
      <c r="L46" s="23"/>
      <c r="M46" s="23"/>
      <c r="N46" s="23"/>
      <c r="O46" s="23"/>
      <c r="P46" s="23"/>
      <c r="Q46" s="26"/>
    </row>
    <row r="47" spans="1:17" s="3" customFormat="1" x14ac:dyDescent="0.2">
      <c r="A47"/>
      <c r="B47" s="1"/>
      <c r="C47" s="23"/>
      <c r="D47" s="23"/>
      <c r="E47" s="23"/>
      <c r="F47" s="23"/>
      <c r="G47" s="23"/>
      <c r="H47" s="23"/>
      <c r="I47" s="23"/>
      <c r="J47" s="23"/>
      <c r="K47" s="23"/>
      <c r="L47" s="23"/>
      <c r="M47" s="23"/>
      <c r="N47" s="23"/>
      <c r="O47" s="23"/>
      <c r="P47" s="23"/>
      <c r="Q47" s="26"/>
    </row>
    <row r="48" spans="1:17" s="3" customFormat="1" x14ac:dyDescent="0.2">
      <c r="A48"/>
      <c r="B48" s="1"/>
      <c r="C48" s="23"/>
      <c r="D48" s="23"/>
      <c r="E48" s="23"/>
      <c r="F48" s="23"/>
      <c r="G48" s="23"/>
      <c r="H48" s="23"/>
      <c r="I48" s="23"/>
      <c r="J48" s="23"/>
      <c r="K48" s="23"/>
      <c r="L48" s="23"/>
      <c r="M48" s="23"/>
      <c r="N48" s="23"/>
      <c r="O48" s="23"/>
      <c r="P48" s="23"/>
      <c r="Q48" s="26"/>
    </row>
    <row r="49" spans="1:17" s="3" customFormat="1" x14ac:dyDescent="0.2">
      <c r="A49"/>
      <c r="B49" s="1"/>
      <c r="C49" s="23"/>
      <c r="D49" s="23"/>
      <c r="E49" s="23"/>
      <c r="F49" s="23"/>
      <c r="G49" s="23"/>
      <c r="H49" s="23"/>
      <c r="I49" s="23"/>
      <c r="J49" s="23"/>
      <c r="K49" s="23"/>
      <c r="L49" s="23"/>
      <c r="M49" s="23"/>
      <c r="N49" s="23"/>
      <c r="O49" s="23"/>
      <c r="P49" s="23"/>
      <c r="Q49" s="26"/>
    </row>
    <row r="50" spans="1:17" s="3" customFormat="1" x14ac:dyDescent="0.2">
      <c r="A50"/>
      <c r="B50" s="1"/>
      <c r="C50" s="23"/>
      <c r="D50" s="23"/>
      <c r="E50" s="23"/>
      <c r="F50" s="23"/>
      <c r="G50" s="23"/>
      <c r="H50" s="23"/>
      <c r="I50" s="23"/>
      <c r="J50" s="23"/>
      <c r="K50" s="23"/>
      <c r="L50" s="23"/>
      <c r="M50" s="23"/>
      <c r="N50" s="23"/>
      <c r="O50" s="23"/>
      <c r="P50" s="23"/>
      <c r="Q50" s="26"/>
    </row>
    <row r="51" spans="1:17" s="3" customFormat="1" x14ac:dyDescent="0.2">
      <c r="A51"/>
      <c r="B51" s="1"/>
      <c r="C51" s="23"/>
      <c r="D51" s="23"/>
      <c r="E51" s="23"/>
      <c r="F51" s="23"/>
      <c r="G51" s="23"/>
      <c r="H51" s="23"/>
      <c r="I51" s="23"/>
      <c r="J51" s="23"/>
      <c r="K51" s="23"/>
      <c r="L51" s="23"/>
      <c r="M51" s="23"/>
      <c r="N51" s="23"/>
      <c r="O51" s="23"/>
      <c r="P51" s="23"/>
      <c r="Q51" s="26"/>
    </row>
    <row r="52" spans="1:17" s="3" customFormat="1" x14ac:dyDescent="0.2">
      <c r="A52"/>
      <c r="B52" s="1"/>
      <c r="C52" s="23"/>
      <c r="D52" s="23"/>
      <c r="E52" s="23"/>
      <c r="F52" s="23"/>
      <c r="G52" s="23"/>
      <c r="H52" s="23"/>
      <c r="I52" s="23"/>
      <c r="J52" s="23"/>
      <c r="K52" s="23"/>
      <c r="L52" s="23"/>
      <c r="M52" s="23"/>
      <c r="N52" s="23"/>
      <c r="O52" s="23"/>
      <c r="P52" s="23"/>
      <c r="Q52" s="26"/>
    </row>
    <row r="53" spans="1:17" s="3" customFormat="1" x14ac:dyDescent="0.2">
      <c r="A53"/>
      <c r="B53" s="1"/>
      <c r="C53" s="23"/>
      <c r="D53" s="23"/>
      <c r="E53" s="23"/>
      <c r="F53" s="23"/>
      <c r="G53" s="23"/>
      <c r="H53" s="23"/>
      <c r="I53" s="23"/>
      <c r="J53" s="23"/>
      <c r="K53" s="23"/>
      <c r="L53" s="23"/>
      <c r="M53" s="23"/>
      <c r="N53" s="23"/>
      <c r="O53" s="23"/>
      <c r="P53" s="23"/>
      <c r="Q53" s="26"/>
    </row>
    <row r="54" spans="1:17" s="3" customFormat="1" x14ac:dyDescent="0.2">
      <c r="A54"/>
      <c r="B54" s="1"/>
      <c r="C54" s="23"/>
      <c r="D54" s="23"/>
      <c r="E54" s="23"/>
      <c r="F54" s="23"/>
      <c r="G54" s="23"/>
      <c r="H54" s="23"/>
      <c r="I54" s="23"/>
      <c r="J54" s="23"/>
      <c r="K54" s="23"/>
      <c r="L54" s="23"/>
      <c r="M54" s="23"/>
      <c r="N54" s="23"/>
      <c r="O54" s="23"/>
      <c r="P54" s="23"/>
      <c r="Q54" s="26"/>
    </row>
    <row r="55" spans="1:17" s="3" customFormat="1" x14ac:dyDescent="0.2">
      <c r="A55"/>
      <c r="B55" s="1"/>
      <c r="C55" s="23"/>
      <c r="D55" s="23"/>
      <c r="E55" s="23"/>
      <c r="F55" s="23"/>
      <c r="G55" s="23"/>
      <c r="H55" s="23"/>
      <c r="I55" s="23"/>
      <c r="J55" s="23"/>
      <c r="K55" s="23"/>
      <c r="L55" s="23"/>
      <c r="M55" s="23"/>
      <c r="N55" s="23"/>
      <c r="O55" s="23"/>
      <c r="P55" s="23"/>
      <c r="Q55" s="26"/>
    </row>
    <row r="56" spans="1:17" s="3" customFormat="1" x14ac:dyDescent="0.2">
      <c r="A56"/>
      <c r="B56" s="1"/>
      <c r="C56" s="23"/>
      <c r="D56" s="23"/>
      <c r="E56" s="23"/>
      <c r="F56" s="23"/>
      <c r="G56" s="23"/>
      <c r="H56" s="23"/>
      <c r="I56" s="23"/>
      <c r="J56" s="23"/>
      <c r="K56" s="23"/>
      <c r="L56" s="23"/>
      <c r="M56" s="23"/>
      <c r="N56" s="23"/>
      <c r="O56" s="23"/>
      <c r="P56" s="23"/>
      <c r="Q56" s="26"/>
    </row>
    <row r="57" spans="1:17" s="3" customFormat="1" x14ac:dyDescent="0.2">
      <c r="A57"/>
      <c r="B57" s="1"/>
      <c r="C57" s="23"/>
      <c r="D57" s="23"/>
      <c r="E57" s="23"/>
      <c r="F57" s="23"/>
      <c r="G57" s="23"/>
      <c r="H57" s="23"/>
      <c r="I57" s="23"/>
      <c r="J57" s="23"/>
      <c r="K57" s="23"/>
      <c r="L57" s="23"/>
      <c r="M57" s="23"/>
      <c r="N57" s="23"/>
      <c r="O57" s="23"/>
      <c r="P57" s="23"/>
      <c r="Q57" s="26"/>
    </row>
    <row r="58" spans="1:17" s="3" customFormat="1" x14ac:dyDescent="0.2">
      <c r="A58"/>
      <c r="B58" s="1"/>
      <c r="C58" s="23"/>
      <c r="D58" s="23"/>
      <c r="E58" s="23"/>
      <c r="F58" s="23"/>
      <c r="G58" s="23"/>
      <c r="H58" s="23"/>
      <c r="I58" s="23"/>
      <c r="J58" s="23"/>
      <c r="K58" s="23"/>
      <c r="L58" s="23"/>
      <c r="M58" s="23"/>
      <c r="N58" s="23"/>
      <c r="O58" s="23"/>
      <c r="P58" s="23"/>
      <c r="Q58" s="26"/>
    </row>
    <row r="59" spans="1:17" s="3" customFormat="1" x14ac:dyDescent="0.2">
      <c r="A59"/>
      <c r="B59" s="1"/>
      <c r="C59" s="23"/>
      <c r="D59" s="23"/>
      <c r="E59" s="23"/>
      <c r="F59" s="23"/>
      <c r="G59" s="23"/>
      <c r="H59" s="23"/>
      <c r="I59" s="23"/>
      <c r="J59" s="23"/>
      <c r="K59" s="23"/>
      <c r="L59" s="23"/>
      <c r="M59" s="23"/>
      <c r="N59" s="23"/>
      <c r="O59" s="23"/>
      <c r="P59" s="23"/>
      <c r="Q59" s="26"/>
    </row>
    <row r="60" spans="1:17" s="3" customFormat="1" x14ac:dyDescent="0.2">
      <c r="A60"/>
      <c r="B60" s="1"/>
      <c r="C60" s="23"/>
      <c r="D60" s="23"/>
      <c r="E60" s="23"/>
      <c r="F60" s="23"/>
      <c r="G60" s="23"/>
      <c r="H60" s="23"/>
      <c r="I60" s="23"/>
      <c r="J60" s="23"/>
      <c r="K60" s="23"/>
      <c r="L60" s="23"/>
      <c r="M60" s="23"/>
      <c r="N60" s="23"/>
      <c r="O60" s="23"/>
      <c r="P60" s="23"/>
      <c r="Q60" s="26"/>
    </row>
    <row r="61" spans="1:17" s="3" customFormat="1" x14ac:dyDescent="0.2">
      <c r="A61"/>
      <c r="B61" s="1"/>
      <c r="C61" s="23"/>
      <c r="D61" s="23"/>
      <c r="E61" s="23"/>
      <c r="F61" s="23"/>
      <c r="G61" s="23"/>
      <c r="H61" s="23"/>
      <c r="I61" s="23"/>
      <c r="J61" s="23"/>
      <c r="K61" s="23"/>
      <c r="L61" s="23"/>
      <c r="M61" s="23"/>
      <c r="N61" s="23"/>
      <c r="O61" s="23"/>
      <c r="P61" s="23"/>
      <c r="Q61" s="26"/>
    </row>
    <row r="62" spans="1:17" s="3" customFormat="1" x14ac:dyDescent="0.2">
      <c r="A62"/>
      <c r="B62" s="1"/>
      <c r="C62" s="23"/>
      <c r="D62" s="23"/>
      <c r="E62" s="23"/>
      <c r="F62" s="23"/>
      <c r="G62" s="23"/>
      <c r="H62" s="23"/>
      <c r="I62" s="23"/>
      <c r="J62" s="23"/>
      <c r="K62" s="23"/>
      <c r="L62" s="23"/>
      <c r="M62" s="23"/>
      <c r="N62" s="23"/>
      <c r="O62" s="23"/>
      <c r="P62" s="23"/>
      <c r="Q62" s="26"/>
    </row>
    <row r="63" spans="1:17" s="3" customFormat="1" x14ac:dyDescent="0.2">
      <c r="A63"/>
      <c r="B63" s="1"/>
      <c r="C63" s="23"/>
      <c r="D63" s="23"/>
      <c r="E63" s="23"/>
      <c r="F63" s="23"/>
      <c r="G63" s="23"/>
      <c r="H63" s="23"/>
      <c r="I63" s="23"/>
      <c r="J63" s="23"/>
      <c r="K63" s="23"/>
      <c r="L63" s="23"/>
      <c r="M63" s="23"/>
      <c r="N63" s="23"/>
      <c r="O63" s="23"/>
      <c r="P63" s="23"/>
      <c r="Q63" s="26"/>
    </row>
    <row r="64" spans="1:17" s="3" customFormat="1" x14ac:dyDescent="0.2">
      <c r="A64"/>
      <c r="B64" s="1"/>
      <c r="C64" s="23"/>
      <c r="D64" s="23"/>
      <c r="E64" s="23"/>
      <c r="F64" s="23"/>
      <c r="G64" s="23"/>
      <c r="H64" s="23"/>
      <c r="I64" s="23"/>
      <c r="J64" s="23"/>
      <c r="K64" s="23"/>
      <c r="L64" s="23"/>
      <c r="M64" s="23"/>
      <c r="N64" s="23"/>
      <c r="O64" s="23"/>
      <c r="P64" s="23"/>
      <c r="Q64" s="26"/>
    </row>
    <row r="65" spans="1:17" s="3" customFormat="1" x14ac:dyDescent="0.2">
      <c r="A65"/>
      <c r="B65" s="1"/>
      <c r="C65" s="23"/>
      <c r="D65" s="23"/>
      <c r="E65" s="23"/>
      <c r="F65" s="23"/>
      <c r="G65" s="23"/>
      <c r="H65" s="23"/>
      <c r="I65" s="23"/>
      <c r="J65" s="23"/>
      <c r="K65" s="23"/>
      <c r="L65" s="23"/>
      <c r="M65" s="23"/>
      <c r="N65" s="23"/>
      <c r="O65" s="23"/>
      <c r="P65" s="23"/>
      <c r="Q65" s="26"/>
    </row>
    <row r="66" spans="1:17" s="3" customFormat="1" x14ac:dyDescent="0.2">
      <c r="A66"/>
      <c r="B66" s="1"/>
      <c r="C66" s="23"/>
      <c r="D66" s="23"/>
      <c r="E66" s="23"/>
      <c r="F66" s="23"/>
      <c r="G66" s="23"/>
      <c r="H66" s="23"/>
      <c r="I66" s="23"/>
      <c r="J66" s="23"/>
      <c r="K66" s="23"/>
      <c r="L66" s="23"/>
      <c r="M66" s="23"/>
      <c r="N66" s="23"/>
      <c r="O66" s="23"/>
      <c r="P66" s="23"/>
      <c r="Q66" s="26"/>
    </row>
    <row r="67" spans="1:17" s="3" customFormat="1" x14ac:dyDescent="0.2">
      <c r="A67"/>
      <c r="B67" s="1"/>
      <c r="C67" s="23"/>
      <c r="D67" s="23"/>
      <c r="E67" s="23"/>
      <c r="F67" s="23"/>
      <c r="G67" s="23"/>
      <c r="H67" s="23"/>
      <c r="I67" s="23"/>
      <c r="J67" s="23"/>
      <c r="K67" s="23"/>
      <c r="L67" s="23"/>
      <c r="M67" s="23"/>
      <c r="N67" s="23"/>
      <c r="O67" s="23"/>
      <c r="P67" s="23"/>
      <c r="Q67" s="26"/>
    </row>
    <row r="68" spans="1:17" s="3" customFormat="1" x14ac:dyDescent="0.2">
      <c r="A68"/>
      <c r="B68" s="1"/>
      <c r="C68" s="23"/>
      <c r="D68" s="23"/>
      <c r="E68" s="23"/>
      <c r="F68" s="23"/>
      <c r="G68" s="23"/>
      <c r="H68" s="23"/>
      <c r="I68" s="23"/>
      <c r="J68" s="23"/>
      <c r="K68" s="23"/>
      <c r="L68" s="23"/>
      <c r="M68" s="23"/>
      <c r="N68" s="23"/>
      <c r="O68" s="23"/>
      <c r="P68" s="23"/>
      <c r="Q68" s="26"/>
    </row>
    <row r="69" spans="1:17" s="3" customFormat="1" x14ac:dyDescent="0.2">
      <c r="A69"/>
      <c r="B69" s="1"/>
      <c r="C69" s="23"/>
      <c r="D69" s="23"/>
      <c r="E69" s="23"/>
      <c r="F69" s="23"/>
      <c r="G69" s="23"/>
      <c r="H69" s="23"/>
      <c r="I69" s="23"/>
      <c r="J69" s="23"/>
      <c r="K69" s="23"/>
      <c r="L69" s="23"/>
      <c r="M69" s="23"/>
      <c r="N69" s="23"/>
      <c r="O69" s="23"/>
      <c r="P69" s="23"/>
      <c r="Q69" s="26"/>
    </row>
    <row r="70" spans="1:17" s="3" customFormat="1" x14ac:dyDescent="0.2">
      <c r="A70"/>
      <c r="B70" s="1"/>
      <c r="C70" s="23"/>
      <c r="D70" s="23"/>
      <c r="E70" s="23"/>
      <c r="F70" s="23"/>
      <c r="G70" s="23"/>
      <c r="H70" s="23"/>
      <c r="I70" s="23"/>
      <c r="J70" s="23"/>
      <c r="K70" s="23"/>
      <c r="L70" s="23"/>
      <c r="M70" s="23"/>
      <c r="N70" s="23"/>
      <c r="O70" s="23"/>
      <c r="P70" s="23"/>
      <c r="Q70" s="26"/>
    </row>
    <row r="71" spans="1:17" s="3" customFormat="1" x14ac:dyDescent="0.2">
      <c r="A71"/>
      <c r="B71" s="1"/>
      <c r="C71" s="23"/>
      <c r="D71" s="23"/>
      <c r="E71" s="23"/>
      <c r="F71" s="23"/>
      <c r="G71" s="23"/>
      <c r="H71" s="23"/>
      <c r="I71" s="23"/>
      <c r="J71" s="23"/>
      <c r="K71" s="23"/>
      <c r="L71" s="23"/>
      <c r="M71" s="23"/>
      <c r="N71" s="23"/>
      <c r="O71" s="23"/>
      <c r="P71" s="23"/>
      <c r="Q71" s="26"/>
    </row>
    <row r="72" spans="1:17" s="3" customFormat="1" x14ac:dyDescent="0.2">
      <c r="A72"/>
      <c r="B72" s="1"/>
      <c r="C72" s="23"/>
      <c r="D72" s="23"/>
      <c r="E72" s="23"/>
      <c r="F72" s="23"/>
      <c r="G72" s="23"/>
      <c r="H72" s="23"/>
      <c r="I72" s="23"/>
      <c r="J72" s="23"/>
      <c r="K72" s="23"/>
      <c r="L72" s="23"/>
      <c r="M72" s="23"/>
      <c r="N72" s="23"/>
      <c r="O72" s="23"/>
      <c r="P72" s="23"/>
      <c r="Q72" s="26"/>
    </row>
    <row r="73" spans="1:17" s="3" customFormat="1" x14ac:dyDescent="0.2">
      <c r="A73"/>
      <c r="B73" s="1"/>
      <c r="C73" s="23"/>
      <c r="D73" s="23"/>
      <c r="E73" s="23"/>
      <c r="F73" s="23"/>
      <c r="G73" s="23"/>
      <c r="H73" s="23"/>
      <c r="I73" s="23"/>
      <c r="J73" s="23"/>
      <c r="K73" s="23"/>
      <c r="L73" s="23"/>
      <c r="M73" s="23"/>
      <c r="N73" s="23"/>
      <c r="O73" s="23"/>
      <c r="P73" s="23"/>
      <c r="Q73" s="26"/>
    </row>
    <row r="74" spans="1:17" s="3" customFormat="1" x14ac:dyDescent="0.2">
      <c r="A74"/>
      <c r="B74" s="1"/>
      <c r="C74" s="23"/>
      <c r="D74" s="23"/>
      <c r="E74" s="23"/>
      <c r="F74" s="23"/>
      <c r="G74" s="23"/>
      <c r="H74" s="23"/>
      <c r="I74" s="23"/>
      <c r="J74" s="23"/>
      <c r="K74" s="23"/>
      <c r="L74" s="23"/>
      <c r="M74" s="23"/>
      <c r="N74" s="23"/>
      <c r="O74" s="23"/>
      <c r="P74" s="23"/>
      <c r="Q74" s="26"/>
    </row>
    <row r="75" spans="1:17" s="3" customFormat="1" x14ac:dyDescent="0.2">
      <c r="A75"/>
      <c r="B75" s="1"/>
      <c r="C75" s="23"/>
      <c r="D75" s="23"/>
      <c r="E75" s="23"/>
      <c r="F75" s="23"/>
      <c r="G75" s="23"/>
      <c r="H75" s="23"/>
      <c r="I75" s="23"/>
      <c r="J75" s="23"/>
      <c r="K75" s="23"/>
      <c r="L75" s="23"/>
      <c r="M75" s="23"/>
      <c r="N75" s="23"/>
      <c r="O75" s="23"/>
      <c r="P75" s="23"/>
      <c r="Q75" s="26"/>
    </row>
    <row r="76" spans="1:17" s="3" customFormat="1" x14ac:dyDescent="0.2">
      <c r="A76"/>
      <c r="B76" s="1"/>
      <c r="C76" s="23"/>
      <c r="D76" s="23"/>
      <c r="E76" s="23"/>
      <c r="F76" s="23"/>
      <c r="G76" s="23"/>
      <c r="H76" s="23"/>
      <c r="I76" s="23"/>
      <c r="J76" s="23"/>
      <c r="K76" s="23"/>
      <c r="L76" s="23"/>
      <c r="M76" s="23"/>
      <c r="N76" s="23"/>
      <c r="O76" s="23"/>
      <c r="P76" s="23"/>
      <c r="Q76" s="26"/>
    </row>
    <row r="77" spans="1:17" s="3" customFormat="1" x14ac:dyDescent="0.2">
      <c r="A77"/>
      <c r="B77" s="1"/>
      <c r="C77" s="23"/>
      <c r="D77" s="23"/>
      <c r="E77" s="23"/>
      <c r="F77" s="23"/>
      <c r="G77" s="23"/>
      <c r="H77" s="23"/>
      <c r="I77" s="23"/>
      <c r="J77" s="23"/>
      <c r="K77" s="23"/>
      <c r="L77" s="23"/>
      <c r="M77" s="23"/>
      <c r="N77" s="23"/>
      <c r="O77" s="23"/>
      <c r="P77" s="23"/>
      <c r="Q77" s="26"/>
    </row>
    <row r="78" spans="1:17" s="3" customFormat="1" x14ac:dyDescent="0.2">
      <c r="A78"/>
      <c r="B78" s="1"/>
      <c r="C78" s="23"/>
      <c r="D78" s="23"/>
      <c r="E78" s="23"/>
      <c r="F78" s="23"/>
      <c r="G78" s="23"/>
      <c r="H78" s="23"/>
      <c r="I78" s="23"/>
      <c r="J78" s="23"/>
      <c r="K78" s="23"/>
      <c r="L78" s="23"/>
      <c r="M78" s="23"/>
      <c r="N78" s="23"/>
      <c r="O78" s="23"/>
      <c r="P78" s="23"/>
      <c r="Q78" s="26"/>
    </row>
    <row r="79" spans="1:17" s="3" customFormat="1" x14ac:dyDescent="0.2">
      <c r="A79"/>
      <c r="B79" s="1"/>
      <c r="C79" s="23"/>
      <c r="D79" s="23"/>
      <c r="E79" s="23"/>
      <c r="F79" s="23"/>
      <c r="G79" s="23"/>
      <c r="H79" s="23"/>
      <c r="I79" s="23"/>
      <c r="J79" s="23"/>
      <c r="K79" s="23"/>
      <c r="L79" s="23"/>
      <c r="M79" s="23"/>
      <c r="N79" s="23"/>
      <c r="O79" s="23"/>
      <c r="P79" s="23"/>
      <c r="Q79" s="26"/>
    </row>
    <row r="80" spans="1:17" s="3" customFormat="1" x14ac:dyDescent="0.2">
      <c r="A80"/>
      <c r="B80" s="1"/>
      <c r="Q80" s="21"/>
    </row>
    <row r="81" spans="1:17" s="3" customFormat="1" x14ac:dyDescent="0.2">
      <c r="A81"/>
      <c r="B81" s="1"/>
      <c r="Q81" s="21"/>
    </row>
    <row r="82" spans="1:17" s="3" customFormat="1" x14ac:dyDescent="0.2">
      <c r="A82"/>
      <c r="B82" s="1"/>
      <c r="Q82" s="21"/>
    </row>
    <row r="83" spans="1:17" s="3" customFormat="1" x14ac:dyDescent="0.2">
      <c r="A83"/>
      <c r="B83" s="1"/>
      <c r="Q83" s="21"/>
    </row>
    <row r="84" spans="1:17" s="3" customFormat="1" x14ac:dyDescent="0.2">
      <c r="A84"/>
      <c r="B84" s="1"/>
      <c r="Q84" s="21"/>
    </row>
    <row r="85" spans="1:17" s="3" customFormat="1" x14ac:dyDescent="0.2">
      <c r="A85"/>
      <c r="B85" s="1"/>
      <c r="Q85" s="21"/>
    </row>
    <row r="86" spans="1:17" s="3" customFormat="1" x14ac:dyDescent="0.2">
      <c r="A86"/>
      <c r="B86" s="1"/>
      <c r="Q86" s="21"/>
    </row>
    <row r="87" spans="1:17" s="3" customFormat="1" x14ac:dyDescent="0.2">
      <c r="A87"/>
      <c r="B87" s="1"/>
      <c r="Q87" s="21"/>
    </row>
    <row r="88" spans="1:17" s="3" customFormat="1" x14ac:dyDescent="0.2">
      <c r="A88"/>
      <c r="B88" s="1"/>
      <c r="Q88" s="21"/>
    </row>
    <row r="89" spans="1:17" s="3" customFormat="1" x14ac:dyDescent="0.2">
      <c r="A89"/>
      <c r="B89" s="1"/>
      <c r="Q89" s="21"/>
    </row>
    <row r="90" spans="1:17" s="3" customFormat="1" x14ac:dyDescent="0.2">
      <c r="A90"/>
      <c r="B90" s="1"/>
      <c r="Q90" s="21"/>
    </row>
    <row r="91" spans="1:17" s="3" customFormat="1" x14ac:dyDescent="0.2">
      <c r="A91"/>
      <c r="B91" s="1"/>
      <c r="Q91" s="21"/>
    </row>
    <row r="92" spans="1:17" s="3" customFormat="1" x14ac:dyDescent="0.2">
      <c r="A92"/>
      <c r="B92" s="1"/>
      <c r="Q92" s="21"/>
    </row>
    <row r="93" spans="1:17" s="3" customFormat="1" x14ac:dyDescent="0.2">
      <c r="A93"/>
      <c r="B93" s="1"/>
      <c r="Q93" s="21"/>
    </row>
    <row r="94" spans="1:17" s="3" customFormat="1" x14ac:dyDescent="0.2">
      <c r="A94"/>
      <c r="B94" s="1"/>
      <c r="Q94" s="21"/>
    </row>
    <row r="95" spans="1:17" s="3" customFormat="1" x14ac:dyDescent="0.2">
      <c r="A95"/>
      <c r="B95" s="1"/>
      <c r="Q95" s="21"/>
    </row>
    <row r="96" spans="1:17" s="3" customFormat="1" x14ac:dyDescent="0.2">
      <c r="A96"/>
      <c r="B96" s="1"/>
      <c r="Q96" s="21"/>
    </row>
    <row r="97" spans="1:17" s="3" customFormat="1" x14ac:dyDescent="0.2">
      <c r="A97"/>
      <c r="B97" s="1"/>
      <c r="Q97" s="21"/>
    </row>
    <row r="98" spans="1:17" s="3" customFormat="1" x14ac:dyDescent="0.2">
      <c r="A98"/>
      <c r="B98" s="1"/>
      <c r="Q98" s="21"/>
    </row>
    <row r="99" spans="1:17" s="3" customFormat="1" x14ac:dyDescent="0.2">
      <c r="A99"/>
      <c r="B99" s="1"/>
      <c r="Q99" s="21"/>
    </row>
    <row r="100" spans="1:17" s="3" customFormat="1" x14ac:dyDescent="0.2">
      <c r="A100"/>
      <c r="B100" s="1"/>
      <c r="Q100" s="21"/>
    </row>
    <row r="101" spans="1:17" s="3" customFormat="1" x14ac:dyDescent="0.2">
      <c r="A101"/>
      <c r="B101" s="1"/>
      <c r="Q101" s="21"/>
    </row>
    <row r="102" spans="1:17" s="3" customFormat="1" x14ac:dyDescent="0.2">
      <c r="A102"/>
      <c r="B102" s="1"/>
      <c r="Q102" s="21"/>
    </row>
    <row r="103" spans="1:17" s="3" customFormat="1" x14ac:dyDescent="0.2">
      <c r="A103"/>
      <c r="B103" s="1"/>
      <c r="Q103" s="21"/>
    </row>
    <row r="104" spans="1:17" s="3" customFormat="1" x14ac:dyDescent="0.2">
      <c r="A104"/>
      <c r="B104" s="1"/>
      <c r="Q104" s="21"/>
    </row>
    <row r="105" spans="1:17" s="3" customFormat="1" x14ac:dyDescent="0.2">
      <c r="A105"/>
      <c r="B105" s="1"/>
      <c r="Q105" s="21"/>
    </row>
    <row r="106" spans="1:17" s="3" customFormat="1" x14ac:dyDescent="0.2">
      <c r="A106"/>
      <c r="B106" s="1"/>
      <c r="Q106" s="21"/>
    </row>
    <row r="107" spans="1:17" s="3" customFormat="1" x14ac:dyDescent="0.2">
      <c r="A107"/>
      <c r="B107" s="1"/>
      <c r="Q107" s="21"/>
    </row>
    <row r="108" spans="1:17" s="3" customFormat="1" x14ac:dyDescent="0.2">
      <c r="A108"/>
      <c r="B108" s="1"/>
      <c r="Q108" s="21"/>
    </row>
    <row r="109" spans="1:17" s="3" customFormat="1" x14ac:dyDescent="0.2">
      <c r="A109"/>
      <c r="B109" s="1"/>
      <c r="Q109" s="21"/>
    </row>
    <row r="110" spans="1:17" s="3" customFormat="1" x14ac:dyDescent="0.2">
      <c r="A110"/>
      <c r="B110" s="1"/>
      <c r="Q110" s="21"/>
    </row>
    <row r="111" spans="1:17" s="3" customFormat="1" x14ac:dyDescent="0.2">
      <c r="A111"/>
      <c r="B111" s="1"/>
      <c r="Q111" s="21"/>
    </row>
    <row r="112" spans="1:17" s="3" customFormat="1" x14ac:dyDescent="0.2">
      <c r="A112"/>
      <c r="B112" s="1"/>
      <c r="Q112" s="21"/>
    </row>
    <row r="113" spans="1:17" s="3" customFormat="1" x14ac:dyDescent="0.2">
      <c r="A113"/>
      <c r="B113" s="1"/>
      <c r="Q113" s="21"/>
    </row>
    <row r="114" spans="1:17" s="3" customFormat="1" x14ac:dyDescent="0.2">
      <c r="A114"/>
      <c r="B114" s="1"/>
      <c r="Q114" s="21"/>
    </row>
    <row r="115" spans="1:17" s="3" customFormat="1" x14ac:dyDescent="0.2">
      <c r="A115"/>
      <c r="B115" s="1"/>
      <c r="Q115" s="21"/>
    </row>
    <row r="116" spans="1:17" s="3" customFormat="1" x14ac:dyDescent="0.2">
      <c r="A116"/>
      <c r="B116" s="1"/>
      <c r="Q116" s="21"/>
    </row>
    <row r="117" spans="1:17" s="3" customFormat="1" x14ac:dyDescent="0.2">
      <c r="A117"/>
      <c r="B117" s="1"/>
      <c r="Q117" s="21"/>
    </row>
    <row r="118" spans="1:17" s="3" customFormat="1" x14ac:dyDescent="0.2">
      <c r="A118"/>
      <c r="B118" s="1"/>
      <c r="Q118" s="21"/>
    </row>
    <row r="119" spans="1:17" s="3" customFormat="1" x14ac:dyDescent="0.2">
      <c r="A119"/>
      <c r="B119" s="1"/>
      <c r="Q119" s="21"/>
    </row>
    <row r="120" spans="1:17" s="3" customFormat="1" x14ac:dyDescent="0.2">
      <c r="A120"/>
      <c r="B120" s="1"/>
      <c r="Q120" s="21"/>
    </row>
    <row r="121" spans="1:17" s="3" customFormat="1" x14ac:dyDescent="0.2">
      <c r="A121"/>
      <c r="B121" s="1"/>
      <c r="Q121" s="21"/>
    </row>
    <row r="122" spans="1:17" s="3" customFormat="1" x14ac:dyDescent="0.2">
      <c r="A122"/>
      <c r="B122" s="1"/>
      <c r="Q122" s="21"/>
    </row>
    <row r="123" spans="1:17" s="3" customFormat="1" x14ac:dyDescent="0.2">
      <c r="A123"/>
      <c r="B123" s="1"/>
      <c r="Q123" s="21"/>
    </row>
    <row r="124" spans="1:17" s="3" customFormat="1" x14ac:dyDescent="0.2">
      <c r="A124"/>
      <c r="B124" s="1"/>
      <c r="Q124" s="21"/>
    </row>
    <row r="125" spans="1:17" s="3" customFormat="1" x14ac:dyDescent="0.2">
      <c r="A125"/>
      <c r="B125" s="1"/>
      <c r="Q125" s="21"/>
    </row>
    <row r="126" spans="1:17" s="3" customFormat="1" x14ac:dyDescent="0.2">
      <c r="A126"/>
      <c r="B126" s="1"/>
      <c r="Q126" s="21"/>
    </row>
    <row r="127" spans="1:17" s="3" customFormat="1" x14ac:dyDescent="0.2">
      <c r="A127"/>
      <c r="B127" s="1"/>
      <c r="Q127" s="21"/>
    </row>
    <row r="128" spans="1:17" s="3" customFormat="1" x14ac:dyDescent="0.2">
      <c r="A128"/>
      <c r="B128" s="1"/>
      <c r="Q128" s="21"/>
    </row>
    <row r="129" spans="1:17" s="3" customFormat="1" x14ac:dyDescent="0.2">
      <c r="A129"/>
      <c r="B129" s="1"/>
      <c r="Q129" s="21"/>
    </row>
    <row r="130" spans="1:17" s="3" customFormat="1" x14ac:dyDescent="0.2">
      <c r="A130"/>
      <c r="B130" s="1"/>
      <c r="Q130" s="21"/>
    </row>
    <row r="131" spans="1:17" s="3" customFormat="1" x14ac:dyDescent="0.2">
      <c r="A131"/>
      <c r="B131" s="1"/>
      <c r="Q131" s="21"/>
    </row>
    <row r="132" spans="1:17" s="3" customFormat="1" x14ac:dyDescent="0.2">
      <c r="A132"/>
      <c r="B132" s="1"/>
      <c r="Q132" s="21"/>
    </row>
    <row r="133" spans="1:17" s="3" customFormat="1" x14ac:dyDescent="0.2">
      <c r="A133"/>
      <c r="B133" s="1"/>
      <c r="Q133" s="21"/>
    </row>
    <row r="134" spans="1:17" s="3" customFormat="1" x14ac:dyDescent="0.2">
      <c r="A134"/>
      <c r="B134" s="1"/>
      <c r="Q134" s="21"/>
    </row>
    <row r="135" spans="1:17" s="3" customFormat="1" x14ac:dyDescent="0.2">
      <c r="A135"/>
      <c r="B135" s="1"/>
      <c r="Q135" s="21"/>
    </row>
    <row r="136" spans="1:17" s="3" customFormat="1" x14ac:dyDescent="0.2">
      <c r="A136"/>
      <c r="B136" s="1"/>
      <c r="Q136" s="21"/>
    </row>
    <row r="137" spans="1:17" s="3" customFormat="1" x14ac:dyDescent="0.2">
      <c r="A137"/>
      <c r="B137" s="1"/>
      <c r="Q137" s="21"/>
    </row>
    <row r="138" spans="1:17" s="3" customFormat="1" x14ac:dyDescent="0.2">
      <c r="A138"/>
      <c r="B138" s="1"/>
      <c r="Q138" s="21"/>
    </row>
    <row r="139" spans="1:17" s="3" customFormat="1" x14ac:dyDescent="0.2">
      <c r="A139"/>
      <c r="B139" s="1"/>
      <c r="Q139" s="21"/>
    </row>
    <row r="140" spans="1:17" s="3" customFormat="1" x14ac:dyDescent="0.2">
      <c r="A140"/>
      <c r="B140" s="1"/>
      <c r="Q140" s="21"/>
    </row>
    <row r="141" spans="1:17" s="3" customFormat="1" x14ac:dyDescent="0.2">
      <c r="A141"/>
      <c r="B141" s="1"/>
      <c r="Q141" s="21"/>
    </row>
    <row r="142" spans="1:17" s="3" customFormat="1" x14ac:dyDescent="0.2">
      <c r="A142"/>
      <c r="B142" s="1"/>
      <c r="Q142" s="21"/>
    </row>
    <row r="143" spans="1:17" s="3" customFormat="1" x14ac:dyDescent="0.2">
      <c r="A143"/>
      <c r="B143" s="1"/>
      <c r="Q143" s="21"/>
    </row>
    <row r="144" spans="1:17" s="3" customFormat="1" x14ac:dyDescent="0.2">
      <c r="A144"/>
      <c r="B144" s="1"/>
      <c r="Q144" s="21"/>
    </row>
    <row r="145" spans="1:17" s="3" customFormat="1" x14ac:dyDescent="0.2">
      <c r="A145"/>
      <c r="B145" s="1"/>
      <c r="Q145" s="21"/>
    </row>
    <row r="146" spans="1:17" s="3" customFormat="1" x14ac:dyDescent="0.2">
      <c r="A146"/>
      <c r="B146" s="1"/>
      <c r="Q146" s="21"/>
    </row>
    <row r="147" spans="1:17" s="3" customFormat="1" x14ac:dyDescent="0.2">
      <c r="A147"/>
      <c r="B147" s="1"/>
      <c r="Q147" s="21"/>
    </row>
    <row r="148" spans="1:17" s="3" customFormat="1" x14ac:dyDescent="0.2">
      <c r="A148"/>
      <c r="B148" s="1"/>
      <c r="Q148" s="21"/>
    </row>
    <row r="149" spans="1:17" s="3" customFormat="1" x14ac:dyDescent="0.2">
      <c r="A149"/>
      <c r="B149" s="1"/>
      <c r="Q149" s="21"/>
    </row>
    <row r="150" spans="1:17" s="3" customFormat="1" x14ac:dyDescent="0.2">
      <c r="A150"/>
      <c r="B150" s="1"/>
      <c r="Q150" s="21"/>
    </row>
    <row r="151" spans="1:17" s="3" customFormat="1" x14ac:dyDescent="0.2">
      <c r="A151"/>
      <c r="B151" s="1"/>
      <c r="Q151" s="21"/>
    </row>
    <row r="152" spans="1:17" s="3" customFormat="1" x14ac:dyDescent="0.2">
      <c r="A152"/>
      <c r="B152" s="1"/>
      <c r="Q152" s="21"/>
    </row>
    <row r="153" spans="1:17" s="3" customFormat="1" x14ac:dyDescent="0.2">
      <c r="A153"/>
      <c r="B153" s="1"/>
      <c r="Q153" s="21"/>
    </row>
    <row r="154" spans="1:17" s="3" customFormat="1" x14ac:dyDescent="0.2">
      <c r="A154"/>
      <c r="B154" s="1"/>
      <c r="Q154" s="21"/>
    </row>
    <row r="155" spans="1:17" s="3" customFormat="1" x14ac:dyDescent="0.2">
      <c r="A155"/>
      <c r="B155" s="1"/>
      <c r="Q155" s="21"/>
    </row>
    <row r="156" spans="1:17" s="3" customFormat="1" x14ac:dyDescent="0.2">
      <c r="A156"/>
      <c r="B156" s="1"/>
      <c r="Q156" s="21"/>
    </row>
    <row r="157" spans="1:17" s="3" customFormat="1" x14ac:dyDescent="0.2">
      <c r="A157"/>
      <c r="B157" s="1"/>
      <c r="Q157" s="21"/>
    </row>
    <row r="158" spans="1:17" s="3" customFormat="1" x14ac:dyDescent="0.2">
      <c r="A158"/>
      <c r="B158" s="1"/>
      <c r="Q158" s="21"/>
    </row>
    <row r="159" spans="1:17" s="3" customFormat="1" x14ac:dyDescent="0.2">
      <c r="A159"/>
      <c r="B159" s="1"/>
      <c r="Q159" s="21"/>
    </row>
    <row r="160" spans="1:17" s="3" customFormat="1" x14ac:dyDescent="0.2">
      <c r="A160"/>
      <c r="B160" s="1"/>
      <c r="Q160" s="21"/>
    </row>
    <row r="161" spans="1:17" s="3" customFormat="1" x14ac:dyDescent="0.2">
      <c r="A161"/>
      <c r="B161" s="1"/>
      <c r="Q161" s="21"/>
    </row>
    <row r="162" spans="1:17" s="3" customFormat="1" x14ac:dyDescent="0.2">
      <c r="A162"/>
      <c r="B162" s="1"/>
      <c r="Q162" s="21"/>
    </row>
    <row r="163" spans="1:17" s="3" customFormat="1" x14ac:dyDescent="0.2">
      <c r="A163"/>
      <c r="B163" s="1"/>
      <c r="Q163" s="21"/>
    </row>
    <row r="164" spans="1:17" s="3" customFormat="1" x14ac:dyDescent="0.2">
      <c r="A164"/>
      <c r="B164" s="1"/>
      <c r="Q164" s="21"/>
    </row>
    <row r="165" spans="1:17" s="3" customFormat="1" x14ac:dyDescent="0.2">
      <c r="A165"/>
      <c r="B165" s="1"/>
      <c r="Q165" s="21"/>
    </row>
    <row r="166" spans="1:17" s="3" customFormat="1" x14ac:dyDescent="0.2">
      <c r="A166"/>
      <c r="B166" s="1"/>
      <c r="Q166" s="21"/>
    </row>
    <row r="167" spans="1:17" s="3" customFormat="1" x14ac:dyDescent="0.2">
      <c r="A167"/>
      <c r="B167" s="1"/>
      <c r="Q167" s="21"/>
    </row>
    <row r="168" spans="1:17" s="3" customFormat="1" x14ac:dyDescent="0.2">
      <c r="A168"/>
      <c r="B168" s="1"/>
      <c r="Q168" s="21"/>
    </row>
    <row r="169" spans="1:17" s="3" customFormat="1" x14ac:dyDescent="0.2">
      <c r="A169"/>
      <c r="B169" s="1"/>
      <c r="Q169" s="21"/>
    </row>
    <row r="170" spans="1:17" s="3" customFormat="1" x14ac:dyDescent="0.2">
      <c r="A170"/>
      <c r="B170" s="1"/>
      <c r="Q170" s="21"/>
    </row>
    <row r="171" spans="1:17" s="3" customFormat="1" x14ac:dyDescent="0.2">
      <c r="A171"/>
      <c r="B171" s="1"/>
      <c r="Q171" s="21"/>
    </row>
    <row r="172" spans="1:17" s="3" customFormat="1" x14ac:dyDescent="0.2">
      <c r="A172"/>
      <c r="B172" s="1"/>
      <c r="Q172" s="21"/>
    </row>
    <row r="173" spans="1:17" s="3" customFormat="1" x14ac:dyDescent="0.2">
      <c r="A173"/>
      <c r="B173" s="1"/>
      <c r="Q173" s="21"/>
    </row>
    <row r="174" spans="1:17" s="3" customFormat="1" x14ac:dyDescent="0.2">
      <c r="A174"/>
      <c r="B174" s="1"/>
      <c r="Q174" s="21"/>
    </row>
    <row r="175" spans="1:17" s="3" customFormat="1" x14ac:dyDescent="0.2">
      <c r="A175"/>
      <c r="B175" s="1"/>
      <c r="Q175" s="21"/>
    </row>
    <row r="176" spans="1:17" s="3" customFormat="1" x14ac:dyDescent="0.2">
      <c r="A176"/>
      <c r="B176" s="1"/>
      <c r="Q176" s="21"/>
    </row>
    <row r="177" spans="1:17" s="3" customFormat="1" x14ac:dyDescent="0.2">
      <c r="A177"/>
      <c r="B177" s="1"/>
      <c r="Q177" s="21"/>
    </row>
    <row r="178" spans="1:17" s="3" customFormat="1" x14ac:dyDescent="0.2">
      <c r="A178"/>
      <c r="B178" s="1"/>
      <c r="Q178" s="21"/>
    </row>
    <row r="179" spans="1:17" s="3" customFormat="1" x14ac:dyDescent="0.2">
      <c r="A179"/>
      <c r="B179" s="1"/>
      <c r="Q179" s="21"/>
    </row>
    <row r="180" spans="1:17" s="3" customFormat="1" x14ac:dyDescent="0.2">
      <c r="A180"/>
      <c r="B180" s="1"/>
      <c r="Q180" s="21"/>
    </row>
    <row r="181" spans="1:17" s="3" customFormat="1" x14ac:dyDescent="0.2">
      <c r="A181"/>
      <c r="B181" s="1"/>
      <c r="Q181" s="21"/>
    </row>
    <row r="182" spans="1:17" s="3" customFormat="1" x14ac:dyDescent="0.2">
      <c r="A182"/>
      <c r="B182" s="1"/>
      <c r="Q182" s="21"/>
    </row>
    <row r="183" spans="1:17" s="3" customFormat="1" x14ac:dyDescent="0.2">
      <c r="A183"/>
      <c r="B183" s="1"/>
      <c r="Q183" s="21"/>
    </row>
    <row r="184" spans="1:17" s="3" customFormat="1" x14ac:dyDescent="0.2">
      <c r="A184"/>
      <c r="B184" s="1"/>
      <c r="Q184" s="21"/>
    </row>
    <row r="185" spans="1:17" s="3" customFormat="1" x14ac:dyDescent="0.2">
      <c r="A185"/>
      <c r="B185" s="1"/>
      <c r="Q185" s="21"/>
    </row>
    <row r="186" spans="1:17" s="3" customFormat="1" x14ac:dyDescent="0.2">
      <c r="A186"/>
      <c r="B186" s="1"/>
      <c r="Q186" s="21"/>
    </row>
    <row r="187" spans="1:17" s="3" customFormat="1" x14ac:dyDescent="0.2">
      <c r="A187"/>
      <c r="B187" s="1"/>
      <c r="Q187" s="21"/>
    </row>
    <row r="188" spans="1:17" s="3" customFormat="1" x14ac:dyDescent="0.2">
      <c r="A188"/>
      <c r="B188" s="1"/>
      <c r="Q188" s="21"/>
    </row>
    <row r="189" spans="1:17" s="3" customFormat="1" x14ac:dyDescent="0.2">
      <c r="A189"/>
      <c r="B189" s="1"/>
      <c r="Q189" s="21"/>
    </row>
    <row r="190" spans="1:17" s="3" customFormat="1" x14ac:dyDescent="0.2">
      <c r="A190"/>
      <c r="B190" s="1"/>
      <c r="Q190" s="21"/>
    </row>
    <row r="191" spans="1:17" s="3" customFormat="1" x14ac:dyDescent="0.2">
      <c r="A191"/>
      <c r="B191" s="1"/>
      <c r="Q191" s="21"/>
    </row>
    <row r="192" spans="1:17" s="3" customFormat="1" x14ac:dyDescent="0.2">
      <c r="A192"/>
      <c r="B192" s="1"/>
      <c r="Q192" s="21"/>
    </row>
    <row r="193" spans="1:17" s="3" customFormat="1" x14ac:dyDescent="0.2">
      <c r="A193"/>
      <c r="B193" s="1"/>
      <c r="Q193" s="21"/>
    </row>
    <row r="194" spans="1:17" s="3" customFormat="1" x14ac:dyDescent="0.2">
      <c r="A194"/>
      <c r="B194" s="1"/>
      <c r="Q194" s="21"/>
    </row>
    <row r="195" spans="1:17" s="3" customFormat="1" x14ac:dyDescent="0.2">
      <c r="A195"/>
      <c r="B195" s="1"/>
      <c r="Q195" s="21"/>
    </row>
    <row r="196" spans="1:17" s="3" customFormat="1" x14ac:dyDescent="0.2">
      <c r="A196"/>
      <c r="B196" s="1"/>
      <c r="Q196" s="21"/>
    </row>
    <row r="197" spans="1:17" s="3" customFormat="1" x14ac:dyDescent="0.2">
      <c r="A197"/>
      <c r="B197" s="1"/>
      <c r="Q197" s="21"/>
    </row>
    <row r="198" spans="1:17" s="3" customFormat="1" x14ac:dyDescent="0.2">
      <c r="A198"/>
      <c r="B198" s="1"/>
      <c r="Q198" s="21"/>
    </row>
    <row r="199" spans="1:17" s="3" customFormat="1" x14ac:dyDescent="0.2">
      <c r="A199"/>
      <c r="B199" s="1"/>
      <c r="Q199" s="21"/>
    </row>
    <row r="200" spans="1:17" s="3" customFormat="1" x14ac:dyDescent="0.2">
      <c r="A200"/>
      <c r="B200" s="1"/>
      <c r="Q200" s="21"/>
    </row>
    <row r="201" spans="1:17" s="3" customFormat="1" x14ac:dyDescent="0.2">
      <c r="A201"/>
      <c r="B201" s="1"/>
      <c r="Q201" s="21"/>
    </row>
    <row r="202" spans="1:17" s="3" customFormat="1" x14ac:dyDescent="0.2">
      <c r="A202"/>
      <c r="B202" s="1"/>
      <c r="Q202" s="21"/>
    </row>
    <row r="203" spans="1:17" s="3" customFormat="1" x14ac:dyDescent="0.2">
      <c r="A203"/>
      <c r="B203" s="1"/>
      <c r="Q203" s="21"/>
    </row>
    <row r="204" spans="1:17" s="3" customFormat="1" x14ac:dyDescent="0.2">
      <c r="A204"/>
      <c r="B204" s="1"/>
      <c r="Q204" s="21"/>
    </row>
    <row r="205" spans="1:17" s="3" customFormat="1" x14ac:dyDescent="0.2">
      <c r="A205"/>
      <c r="B205" s="1"/>
      <c r="Q205" s="21"/>
    </row>
    <row r="206" spans="1:17" s="3" customFormat="1" x14ac:dyDescent="0.2">
      <c r="A206"/>
      <c r="B206" s="1"/>
      <c r="Q206" s="21"/>
    </row>
    <row r="207" spans="1:17" s="3" customFormat="1" x14ac:dyDescent="0.2">
      <c r="A207"/>
      <c r="B207" s="1"/>
      <c r="Q207" s="21"/>
    </row>
    <row r="208" spans="1:17" s="3" customFormat="1" x14ac:dyDescent="0.2">
      <c r="A208"/>
      <c r="B208" s="1"/>
      <c r="Q208" s="21"/>
    </row>
    <row r="209" spans="1:17" s="3" customFormat="1" x14ac:dyDescent="0.2">
      <c r="A209"/>
      <c r="B209" s="1"/>
      <c r="Q209" s="21"/>
    </row>
    <row r="210" spans="1:17" s="3" customFormat="1" x14ac:dyDescent="0.2">
      <c r="A210"/>
      <c r="B210" s="1"/>
      <c r="Q210" s="21"/>
    </row>
    <row r="211" spans="1:17" s="3" customFormat="1" x14ac:dyDescent="0.2">
      <c r="A211"/>
      <c r="B211" s="1"/>
      <c r="Q211" s="21"/>
    </row>
    <row r="212" spans="1:17" s="3" customFormat="1" x14ac:dyDescent="0.2">
      <c r="A212"/>
      <c r="B212" s="1"/>
      <c r="Q212" s="21"/>
    </row>
    <row r="213" spans="1:17" s="3" customFormat="1" x14ac:dyDescent="0.2">
      <c r="A213"/>
      <c r="B213" s="1"/>
      <c r="Q213" s="21"/>
    </row>
    <row r="214" spans="1:17" s="3" customFormat="1" x14ac:dyDescent="0.2">
      <c r="A214"/>
      <c r="B214" s="1"/>
      <c r="Q214" s="21"/>
    </row>
    <row r="215" spans="1:17" s="3" customFormat="1" x14ac:dyDescent="0.2">
      <c r="A215"/>
      <c r="B215" s="1"/>
      <c r="Q215" s="21"/>
    </row>
    <row r="216" spans="1:17" s="3" customFormat="1" x14ac:dyDescent="0.2">
      <c r="A216"/>
      <c r="B216" s="1"/>
      <c r="Q216" s="21"/>
    </row>
    <row r="217" spans="1:17" s="3" customFormat="1" x14ac:dyDescent="0.2">
      <c r="A217"/>
      <c r="B217" s="1"/>
      <c r="Q217" s="21"/>
    </row>
    <row r="218" spans="1:17" s="3" customFormat="1" x14ac:dyDescent="0.2">
      <c r="A218"/>
      <c r="B218" s="1"/>
      <c r="Q218" s="21"/>
    </row>
    <row r="219" spans="1:17" s="3" customFormat="1" x14ac:dyDescent="0.2">
      <c r="A219"/>
      <c r="B219" s="1"/>
      <c r="Q219" s="21"/>
    </row>
    <row r="220" spans="1:17" s="3" customFormat="1" x14ac:dyDescent="0.2">
      <c r="A220"/>
      <c r="B220" s="1"/>
      <c r="Q220" s="21"/>
    </row>
    <row r="221" spans="1:17" s="3" customFormat="1" x14ac:dyDescent="0.2">
      <c r="A221"/>
      <c r="B221" s="1"/>
      <c r="Q221" s="21"/>
    </row>
    <row r="222" spans="1:17" s="3" customFormat="1" x14ac:dyDescent="0.2">
      <c r="A222"/>
      <c r="B222" s="1"/>
      <c r="Q222" s="21"/>
    </row>
    <row r="223" spans="1:17" s="3" customFormat="1" x14ac:dyDescent="0.2">
      <c r="A223"/>
      <c r="B223" s="1"/>
      <c r="Q223" s="21"/>
    </row>
    <row r="224" spans="1:17" s="3" customFormat="1" x14ac:dyDescent="0.2">
      <c r="A224"/>
      <c r="B224" s="1"/>
      <c r="Q224" s="21"/>
    </row>
    <row r="225" spans="1:17" s="3" customFormat="1" x14ac:dyDescent="0.2">
      <c r="A225"/>
      <c r="B225" s="1"/>
      <c r="Q225" s="21"/>
    </row>
    <row r="226" spans="1:17" s="3" customFormat="1" x14ac:dyDescent="0.2">
      <c r="A226"/>
      <c r="B226" s="1"/>
      <c r="Q226" s="21"/>
    </row>
    <row r="227" spans="1:17" s="3" customFormat="1" x14ac:dyDescent="0.2">
      <c r="A227"/>
      <c r="B227" s="1"/>
      <c r="Q227" s="21"/>
    </row>
    <row r="228" spans="1:17" s="3" customFormat="1" x14ac:dyDescent="0.2">
      <c r="A228"/>
      <c r="B228" s="1"/>
      <c r="Q228" s="21"/>
    </row>
    <row r="229" spans="1:17" s="3" customFormat="1" x14ac:dyDescent="0.2">
      <c r="A229"/>
      <c r="B229" s="1"/>
      <c r="Q229" s="21"/>
    </row>
    <row r="230" spans="1:17" s="3" customFormat="1" x14ac:dyDescent="0.2">
      <c r="A230"/>
      <c r="B230" s="1"/>
      <c r="Q230" s="21"/>
    </row>
    <row r="231" spans="1:17" s="3" customFormat="1" x14ac:dyDescent="0.2">
      <c r="A231"/>
      <c r="B231" s="1"/>
      <c r="Q231" s="21"/>
    </row>
    <row r="232" spans="1:17" s="3" customFormat="1" x14ac:dyDescent="0.2">
      <c r="A232"/>
      <c r="B232" s="1"/>
      <c r="Q232" s="21"/>
    </row>
    <row r="233" spans="1:17" s="3" customFormat="1" x14ac:dyDescent="0.2">
      <c r="A233"/>
      <c r="B233" s="1"/>
      <c r="Q233" s="21"/>
    </row>
    <row r="234" spans="1:17" s="3" customFormat="1" x14ac:dyDescent="0.2">
      <c r="A234"/>
      <c r="B234" s="1"/>
      <c r="Q234" s="21"/>
    </row>
    <row r="235" spans="1:17" s="3" customFormat="1" x14ac:dyDescent="0.2">
      <c r="A235"/>
      <c r="B235" s="1"/>
      <c r="Q235" s="21"/>
    </row>
    <row r="236" spans="1:17" s="3" customFormat="1" x14ac:dyDescent="0.2">
      <c r="A236"/>
      <c r="B236" s="1"/>
      <c r="Q236" s="21"/>
    </row>
    <row r="237" spans="1:17" s="3" customFormat="1" x14ac:dyDescent="0.2">
      <c r="A237"/>
      <c r="B237" s="1"/>
      <c r="Q237" s="21"/>
    </row>
    <row r="238" spans="1:17" s="3" customFormat="1" x14ac:dyDescent="0.2">
      <c r="A238"/>
      <c r="B238" s="1"/>
      <c r="Q238" s="21"/>
    </row>
    <row r="239" spans="1:17" s="3" customFormat="1" x14ac:dyDescent="0.2">
      <c r="A239"/>
      <c r="B239" s="1"/>
      <c r="Q239" s="21"/>
    </row>
    <row r="240" spans="1:17" s="3" customFormat="1" x14ac:dyDescent="0.2">
      <c r="A240"/>
      <c r="B240" s="1"/>
      <c r="Q240" s="21"/>
    </row>
    <row r="241" spans="1:17" s="3" customFormat="1" x14ac:dyDescent="0.2">
      <c r="A241"/>
      <c r="B241" s="1"/>
      <c r="Q241" s="21"/>
    </row>
    <row r="242" spans="1:17" s="3" customFormat="1" x14ac:dyDescent="0.2">
      <c r="A242"/>
      <c r="B242" s="1"/>
      <c r="Q242" s="21"/>
    </row>
    <row r="243" spans="1:17" s="3" customFormat="1" x14ac:dyDescent="0.2">
      <c r="A243"/>
      <c r="B243" s="1"/>
      <c r="Q243" s="21"/>
    </row>
    <row r="244" spans="1:17" s="3" customFormat="1" x14ac:dyDescent="0.2">
      <c r="A244"/>
      <c r="B244" s="1"/>
      <c r="Q244" s="21"/>
    </row>
    <row r="245" spans="1:17" s="3" customFormat="1" x14ac:dyDescent="0.2">
      <c r="A245"/>
      <c r="B245" s="1"/>
      <c r="Q245" s="21"/>
    </row>
    <row r="246" spans="1:17" s="3" customFormat="1" x14ac:dyDescent="0.2">
      <c r="A246"/>
      <c r="B246" s="1"/>
      <c r="Q246" s="21"/>
    </row>
    <row r="247" spans="1:17" s="3" customFormat="1" x14ac:dyDescent="0.2">
      <c r="A247"/>
      <c r="B247" s="1"/>
      <c r="Q247" s="21"/>
    </row>
    <row r="248" spans="1:17" s="3" customFormat="1" x14ac:dyDescent="0.2">
      <c r="A248"/>
      <c r="B248" s="1"/>
      <c r="Q248" s="21"/>
    </row>
    <row r="249" spans="1:17" s="3" customFormat="1" x14ac:dyDescent="0.2">
      <c r="A249"/>
      <c r="B249" s="1"/>
      <c r="Q249" s="21"/>
    </row>
    <row r="250" spans="1:17" s="3" customFormat="1" x14ac:dyDescent="0.2">
      <c r="A250"/>
      <c r="B250" s="1"/>
      <c r="Q250" s="21"/>
    </row>
    <row r="251" spans="1:17" s="3" customFormat="1" x14ac:dyDescent="0.2">
      <c r="A251"/>
      <c r="B251" s="1"/>
      <c r="Q251" s="21"/>
    </row>
    <row r="252" spans="1:17" s="3" customFormat="1" x14ac:dyDescent="0.2">
      <c r="A252"/>
      <c r="B252" s="1"/>
      <c r="Q252" s="21"/>
    </row>
    <row r="253" spans="1:17" s="3" customFormat="1" x14ac:dyDescent="0.2">
      <c r="A253"/>
      <c r="B253" s="1"/>
      <c r="Q253" s="21"/>
    </row>
    <row r="254" spans="1:17" s="3" customFormat="1" x14ac:dyDescent="0.2">
      <c r="A254"/>
      <c r="B254" s="1"/>
      <c r="Q254" s="21"/>
    </row>
    <row r="255" spans="1:17" s="3" customFormat="1" x14ac:dyDescent="0.2">
      <c r="A255"/>
      <c r="B255" s="1"/>
      <c r="Q255" s="21"/>
    </row>
    <row r="256" spans="1:17" s="3" customFormat="1" x14ac:dyDescent="0.2">
      <c r="A256"/>
      <c r="B256" s="1"/>
      <c r="Q256" s="21"/>
    </row>
    <row r="257" spans="1:17" s="3" customFormat="1" x14ac:dyDescent="0.2">
      <c r="A257"/>
      <c r="B257" s="1"/>
      <c r="Q257" s="21"/>
    </row>
    <row r="258" spans="1:17" s="3" customFormat="1" x14ac:dyDescent="0.2">
      <c r="A258"/>
      <c r="B258" s="1"/>
      <c r="Q258" s="21"/>
    </row>
    <row r="259" spans="1:17" s="3" customFormat="1" x14ac:dyDescent="0.2">
      <c r="A259"/>
      <c r="B259" s="1"/>
      <c r="Q259" s="21"/>
    </row>
    <row r="260" spans="1:17" s="3" customFormat="1" x14ac:dyDescent="0.2">
      <c r="A260"/>
      <c r="B260" s="1"/>
      <c r="Q260" s="21"/>
    </row>
    <row r="261" spans="1:17" s="3" customFormat="1" x14ac:dyDescent="0.2">
      <c r="A261"/>
      <c r="B261" s="1"/>
      <c r="Q261" s="21"/>
    </row>
    <row r="262" spans="1:17" s="3" customFormat="1" x14ac:dyDescent="0.2">
      <c r="A262"/>
      <c r="B262" s="1"/>
      <c r="Q262" s="21"/>
    </row>
    <row r="263" spans="1:17" s="3" customFormat="1" x14ac:dyDescent="0.2">
      <c r="A263"/>
      <c r="B263" s="1"/>
      <c r="Q263" s="21"/>
    </row>
    <row r="264" spans="1:17" s="3" customFormat="1" x14ac:dyDescent="0.2">
      <c r="A264"/>
      <c r="B264" s="1"/>
      <c r="Q264" s="21"/>
    </row>
    <row r="265" spans="1:17" s="3" customFormat="1" x14ac:dyDescent="0.2">
      <c r="A265"/>
      <c r="B265" s="1"/>
      <c r="Q265" s="21"/>
    </row>
    <row r="266" spans="1:17" s="3" customFormat="1" x14ac:dyDescent="0.2">
      <c r="A266"/>
      <c r="B266" s="1"/>
      <c r="Q266" s="21"/>
    </row>
    <row r="267" spans="1:17" s="3" customFormat="1" x14ac:dyDescent="0.2">
      <c r="A267"/>
      <c r="B267" s="1"/>
      <c r="Q267" s="21"/>
    </row>
    <row r="268" spans="1:17" s="3" customFormat="1" x14ac:dyDescent="0.2">
      <c r="A268"/>
      <c r="B268" s="1"/>
      <c r="Q268" s="21"/>
    </row>
    <row r="269" spans="1:17" s="3" customFormat="1" x14ac:dyDescent="0.2">
      <c r="A269"/>
      <c r="B269" s="1"/>
      <c r="Q269" s="21"/>
    </row>
    <row r="270" spans="1:17" s="3" customFormat="1" x14ac:dyDescent="0.2">
      <c r="A270"/>
      <c r="B270" s="1"/>
      <c r="Q270" s="21"/>
    </row>
    <row r="271" spans="1:17" s="3" customFormat="1" x14ac:dyDescent="0.2">
      <c r="A271"/>
      <c r="B271" s="1"/>
      <c r="Q271" s="21"/>
    </row>
    <row r="272" spans="1:17" s="3" customFormat="1" x14ac:dyDescent="0.2">
      <c r="A272"/>
      <c r="B272" s="1"/>
      <c r="Q272" s="21"/>
    </row>
    <row r="273" spans="1:17" s="3" customFormat="1" x14ac:dyDescent="0.2">
      <c r="A273"/>
      <c r="B273" s="1"/>
      <c r="Q273" s="21"/>
    </row>
    <row r="274" spans="1:17" s="3" customFormat="1" x14ac:dyDescent="0.2">
      <c r="A274"/>
      <c r="B274" s="1"/>
      <c r="Q274" s="21"/>
    </row>
    <row r="275" spans="1:17" s="3" customFormat="1" x14ac:dyDescent="0.2">
      <c r="A275"/>
      <c r="B275" s="1"/>
      <c r="Q275" s="21"/>
    </row>
    <row r="276" spans="1:17" s="3" customFormat="1" x14ac:dyDescent="0.2">
      <c r="A276"/>
      <c r="B276" s="1"/>
      <c r="Q276" s="21"/>
    </row>
    <row r="277" spans="1:17" s="3" customFormat="1" x14ac:dyDescent="0.2">
      <c r="A277"/>
      <c r="B277" s="1"/>
      <c r="Q277" s="21"/>
    </row>
    <row r="278" spans="1:17" s="3" customFormat="1" x14ac:dyDescent="0.2">
      <c r="A278"/>
      <c r="B278" s="1"/>
      <c r="Q278" s="21"/>
    </row>
    <row r="279" spans="1:17" s="3" customFormat="1" x14ac:dyDescent="0.2">
      <c r="A279"/>
      <c r="B279" s="1"/>
      <c r="Q279" s="21"/>
    </row>
    <row r="280" spans="1:17" s="3" customFormat="1" x14ac:dyDescent="0.2">
      <c r="A280"/>
      <c r="B280" s="1"/>
      <c r="Q280" s="21"/>
    </row>
    <row r="281" spans="1:17" s="3" customFormat="1" x14ac:dyDescent="0.2">
      <c r="A281"/>
      <c r="B281" s="1"/>
      <c r="Q281" s="21"/>
    </row>
    <row r="282" spans="1:17" s="3" customFormat="1" x14ac:dyDescent="0.2">
      <c r="A282"/>
      <c r="B282" s="1"/>
      <c r="Q282" s="21"/>
    </row>
    <row r="283" spans="1:17" s="3" customFormat="1" x14ac:dyDescent="0.2">
      <c r="A283"/>
      <c r="B283" s="1"/>
      <c r="Q283" s="21"/>
    </row>
    <row r="284" spans="1:17" s="3" customFormat="1" x14ac:dyDescent="0.2">
      <c r="A284"/>
      <c r="B284" s="1"/>
      <c r="Q284" s="21"/>
    </row>
    <row r="285" spans="1:17" s="3" customFormat="1" x14ac:dyDescent="0.2">
      <c r="A285"/>
      <c r="B285" s="1"/>
      <c r="Q285" s="21"/>
    </row>
    <row r="286" spans="1:17" s="3" customFormat="1" x14ac:dyDescent="0.2">
      <c r="A286"/>
      <c r="B286" s="1"/>
      <c r="Q286" s="21"/>
    </row>
    <row r="287" spans="1:17" s="3" customFormat="1" x14ac:dyDescent="0.2">
      <c r="A287"/>
      <c r="B287" s="1"/>
      <c r="Q287" s="21"/>
    </row>
    <row r="288" spans="1:17" s="3" customFormat="1" x14ac:dyDescent="0.2">
      <c r="A288"/>
      <c r="B288" s="1"/>
      <c r="Q288" s="21"/>
    </row>
    <row r="289" spans="1:17" s="3" customFormat="1" x14ac:dyDescent="0.2">
      <c r="A289"/>
      <c r="B289" s="1"/>
      <c r="Q289" s="21"/>
    </row>
    <row r="290" spans="1:17" s="3" customFormat="1" x14ac:dyDescent="0.2">
      <c r="A290"/>
      <c r="B290" s="1"/>
      <c r="Q290" s="21"/>
    </row>
    <row r="291" spans="1:17" s="3" customFormat="1" x14ac:dyDescent="0.2">
      <c r="A291"/>
      <c r="B291" s="1"/>
      <c r="Q291" s="21"/>
    </row>
    <row r="292" spans="1:17" s="3" customFormat="1" x14ac:dyDescent="0.2">
      <c r="A292"/>
      <c r="B292" s="1"/>
      <c r="Q292" s="21"/>
    </row>
    <row r="293" spans="1:17" s="3" customFormat="1" x14ac:dyDescent="0.2">
      <c r="A293"/>
      <c r="B293" s="1"/>
      <c r="Q293" s="21"/>
    </row>
    <row r="294" spans="1:17" s="3" customFormat="1" x14ac:dyDescent="0.2">
      <c r="A294"/>
      <c r="B294" s="1"/>
      <c r="Q294" s="21"/>
    </row>
    <row r="295" spans="1:17" s="3" customFormat="1" x14ac:dyDescent="0.2">
      <c r="A295"/>
      <c r="B295" s="1"/>
      <c r="Q295" s="21"/>
    </row>
    <row r="296" spans="1:17" s="3" customFormat="1" x14ac:dyDescent="0.2">
      <c r="A296"/>
      <c r="B296" s="1"/>
      <c r="Q296" s="21"/>
    </row>
  </sheetData>
  <pageMargins left="0.78740157499999996" right="0.78740157499999996" top="0.984251969" bottom="0.984251969" header="0.4921259845" footer="0.4921259845"/>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42"/>
  <sheetViews>
    <sheetView showZeros="0" workbookViewId="0">
      <selection activeCell="G5" sqref="G5"/>
    </sheetView>
  </sheetViews>
  <sheetFormatPr baseColWidth="10" defaultColWidth="11.5703125" defaultRowHeight="12.75" x14ac:dyDescent="0.2"/>
  <cols>
    <col min="1" max="1" width="9.7109375" style="16" customWidth="1"/>
    <col min="2" max="2" width="70.85546875" style="6" customWidth="1"/>
    <col min="3" max="3" width="49.7109375" style="6" customWidth="1"/>
    <col min="4" max="16384" width="11.5703125" style="6"/>
  </cols>
  <sheetData>
    <row r="1" spans="1:3" ht="13.5" thickBot="1" x14ac:dyDescent="0.25"/>
    <row r="2" spans="1:3" ht="16.5" thickBot="1" x14ac:dyDescent="0.3">
      <c r="A2" s="7"/>
      <c r="B2" s="27" t="s">
        <v>20</v>
      </c>
      <c r="C2" s="28"/>
    </row>
    <row r="3" spans="1:3" x14ac:dyDescent="0.2">
      <c r="B3" s="12"/>
      <c r="C3" s="12"/>
    </row>
    <row r="4" spans="1:3" ht="46.9" customHeight="1" x14ac:dyDescent="0.2">
      <c r="B4" s="29" t="s">
        <v>53</v>
      </c>
      <c r="C4" s="29"/>
    </row>
    <row r="5" spans="1:3" ht="83.45" customHeight="1" x14ac:dyDescent="0.2">
      <c r="B5" s="29" t="s">
        <v>54</v>
      </c>
      <c r="C5" s="29"/>
    </row>
    <row r="6" spans="1:3" x14ac:dyDescent="0.2">
      <c r="B6" s="30" t="s">
        <v>21</v>
      </c>
      <c r="C6" s="30"/>
    </row>
    <row r="7" spans="1:3" ht="69.599999999999994" customHeight="1" x14ac:dyDescent="0.2">
      <c r="B7" s="31" t="s">
        <v>52</v>
      </c>
      <c r="C7" s="31"/>
    </row>
    <row r="8" spans="1:3" ht="30.6" customHeight="1" x14ac:dyDescent="0.2">
      <c r="B8" s="29" t="s">
        <v>51</v>
      </c>
      <c r="C8" s="29"/>
    </row>
    <row r="9" spans="1:3" ht="43.9" customHeight="1" x14ac:dyDescent="0.2">
      <c r="B9" s="29" t="s">
        <v>55</v>
      </c>
      <c r="C9" s="29"/>
    </row>
    <row r="10" spans="1:3" ht="13.5" thickBot="1" x14ac:dyDescent="0.25"/>
    <row r="11" spans="1:3" ht="16.5" thickBot="1" x14ac:dyDescent="0.3">
      <c r="A11" s="7"/>
      <c r="B11" s="8" t="s">
        <v>22</v>
      </c>
      <c r="C11" s="9"/>
    </row>
    <row r="13" spans="1:3" ht="42.6" customHeight="1" x14ac:dyDescent="0.2">
      <c r="B13" s="30" t="s">
        <v>50</v>
      </c>
      <c r="C13" s="30"/>
    </row>
    <row r="14" spans="1:3" ht="27.6" customHeight="1" x14ac:dyDescent="0.2">
      <c r="B14" s="29" t="s">
        <v>23</v>
      </c>
      <c r="C14" s="29"/>
    </row>
    <row r="15" spans="1:3" ht="13.5" thickBot="1" x14ac:dyDescent="0.25"/>
    <row r="16" spans="1:3" ht="16.5" thickBot="1" x14ac:dyDescent="0.3">
      <c r="A16" s="7"/>
      <c r="B16" s="8" t="s">
        <v>24</v>
      </c>
      <c r="C16" s="9"/>
    </row>
    <row r="17" spans="1:3" x14ac:dyDescent="0.2">
      <c r="A17" s="10"/>
    </row>
    <row r="18" spans="1:3" ht="23.45" customHeight="1" x14ac:dyDescent="0.2">
      <c r="A18" s="17" t="s">
        <v>25</v>
      </c>
      <c r="B18" s="11" t="s">
        <v>26</v>
      </c>
      <c r="C18" s="5" t="s">
        <v>27</v>
      </c>
    </row>
    <row r="19" spans="1:3" x14ac:dyDescent="0.2">
      <c r="A19" s="17"/>
      <c r="B19" s="12"/>
      <c r="C19" s="5"/>
    </row>
    <row r="20" spans="1:3" x14ac:dyDescent="0.2">
      <c r="A20" s="15" t="s">
        <v>28</v>
      </c>
      <c r="B20" s="11" t="s">
        <v>29</v>
      </c>
      <c r="C20" s="5"/>
    </row>
    <row r="21" spans="1:3" x14ac:dyDescent="0.2">
      <c r="A21" s="17"/>
      <c r="B21" s="13" t="s">
        <v>4</v>
      </c>
      <c r="C21" s="5" t="s">
        <v>30</v>
      </c>
    </row>
    <row r="22" spans="1:3" x14ac:dyDescent="0.2">
      <c r="A22" s="17"/>
      <c r="B22" s="13" t="s">
        <v>5</v>
      </c>
      <c r="C22" s="5" t="s">
        <v>31</v>
      </c>
    </row>
    <row r="23" spans="1:3" x14ac:dyDescent="0.2">
      <c r="A23" s="17"/>
      <c r="B23" s="13" t="s">
        <v>6</v>
      </c>
      <c r="C23" s="5"/>
    </row>
    <row r="24" spans="1:3" x14ac:dyDescent="0.2">
      <c r="A24" s="17"/>
      <c r="B24" s="13" t="s">
        <v>7</v>
      </c>
      <c r="C24" s="5" t="s">
        <v>32</v>
      </c>
    </row>
    <row r="25" spans="1:3" ht="27" customHeight="1" x14ac:dyDescent="0.2">
      <c r="A25" s="17"/>
      <c r="B25" s="13" t="s">
        <v>8</v>
      </c>
      <c r="C25" s="4" t="s">
        <v>33</v>
      </c>
    </row>
    <row r="26" spans="1:3" ht="27" customHeight="1" x14ac:dyDescent="0.2">
      <c r="A26" s="17"/>
      <c r="B26" s="13" t="s">
        <v>58</v>
      </c>
      <c r="C26" s="4"/>
    </row>
    <row r="27" spans="1:3" x14ac:dyDescent="0.2">
      <c r="A27" s="17"/>
      <c r="B27" s="13" t="s">
        <v>1</v>
      </c>
      <c r="C27" s="5"/>
    </row>
    <row r="28" spans="1:3" ht="25.5" x14ac:dyDescent="0.2">
      <c r="A28" s="15" t="s">
        <v>34</v>
      </c>
      <c r="B28" s="11" t="s">
        <v>35</v>
      </c>
      <c r="C28" s="5"/>
    </row>
    <row r="29" spans="1:3" ht="63.75" x14ac:dyDescent="0.2">
      <c r="A29" s="17"/>
      <c r="B29" s="13" t="s">
        <v>57</v>
      </c>
      <c r="C29" s="4" t="s">
        <v>56</v>
      </c>
    </row>
    <row r="30" spans="1:3" x14ac:dyDescent="0.2">
      <c r="A30" s="17"/>
      <c r="B30" s="1" t="s">
        <v>59</v>
      </c>
      <c r="C30" s="4"/>
    </row>
    <row r="31" spans="1:3" ht="25.5" x14ac:dyDescent="0.2">
      <c r="A31" s="17"/>
      <c r="B31" s="13" t="s">
        <v>8</v>
      </c>
      <c r="C31" s="4" t="s">
        <v>36</v>
      </c>
    </row>
    <row r="32" spans="1:3" x14ac:dyDescent="0.2">
      <c r="A32" s="17"/>
      <c r="B32" s="13" t="s">
        <v>1</v>
      </c>
      <c r="C32" s="5"/>
    </row>
    <row r="33" spans="1:3" x14ac:dyDescent="0.2">
      <c r="A33" s="15" t="s">
        <v>37</v>
      </c>
      <c r="B33" s="11" t="s">
        <v>38</v>
      </c>
      <c r="C33" s="5"/>
    </row>
    <row r="34" spans="1:3" ht="76.5" x14ac:dyDescent="0.2">
      <c r="A34" s="17"/>
      <c r="B34" s="13" t="s">
        <v>11</v>
      </c>
      <c r="C34" s="5" t="s">
        <v>39</v>
      </c>
    </row>
    <row r="35" spans="1:3" ht="27.6" customHeight="1" x14ac:dyDescent="0.2">
      <c r="A35" s="17"/>
      <c r="B35" s="13" t="s">
        <v>12</v>
      </c>
      <c r="C35" s="5" t="s">
        <v>40</v>
      </c>
    </row>
    <row r="36" spans="1:3" ht="25.5" x14ac:dyDescent="0.2">
      <c r="A36" s="17"/>
      <c r="B36" s="14" t="s">
        <v>13</v>
      </c>
      <c r="C36" s="5" t="s">
        <v>41</v>
      </c>
    </row>
    <row r="37" spans="1:3" x14ac:dyDescent="0.2">
      <c r="A37" s="17"/>
      <c r="B37" s="13" t="s">
        <v>1</v>
      </c>
      <c r="C37" s="5"/>
    </row>
    <row r="38" spans="1:3" ht="25.5" x14ac:dyDescent="0.2">
      <c r="A38" s="15" t="s">
        <v>42</v>
      </c>
      <c r="B38" s="11" t="s">
        <v>43</v>
      </c>
      <c r="C38" s="4" t="s">
        <v>44</v>
      </c>
    </row>
    <row r="39" spans="1:3" x14ac:dyDescent="0.2">
      <c r="A39" s="17"/>
      <c r="B39" s="12"/>
      <c r="C39" s="5"/>
    </row>
    <row r="40" spans="1:3" ht="38.25" x14ac:dyDescent="0.2">
      <c r="A40" s="15" t="s">
        <v>45</v>
      </c>
      <c r="B40" s="11" t="s">
        <v>46</v>
      </c>
      <c r="C40" s="5" t="s">
        <v>47</v>
      </c>
    </row>
    <row r="41" spans="1:3" x14ac:dyDescent="0.2">
      <c r="A41" s="17"/>
      <c r="B41" s="13"/>
      <c r="C41" s="5"/>
    </row>
    <row r="42" spans="1:3" x14ac:dyDescent="0.2">
      <c r="A42" s="17" t="s">
        <v>48</v>
      </c>
      <c r="B42" s="11" t="s">
        <v>49</v>
      </c>
      <c r="C42" s="5"/>
    </row>
  </sheetData>
  <mergeCells count="9">
    <mergeCell ref="B2:C2"/>
    <mergeCell ref="B4:C4"/>
    <mergeCell ref="B5:C5"/>
    <mergeCell ref="B6:C6"/>
    <mergeCell ref="B14:C14"/>
    <mergeCell ref="B7:C7"/>
    <mergeCell ref="B8:C8"/>
    <mergeCell ref="B9:C9"/>
    <mergeCell ref="B13:C13"/>
  </mergeCells>
  <phoneticPr fontId="0" type="noConversion"/>
  <pageMargins left="0.78740157499999996" right="0.78740157499999996" top="0.984251969" bottom="0.984251969" header="0.4921259845" footer="0.4921259845"/>
  <pageSetup paperSize="9" orientation="portrait" r:id="rId1"/>
  <headerFooter alignWithMargins="0"/>
  <rowBreaks count="1" manualBreakCount="1">
    <brk id="30" max="65535"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t_3105</vt:lpstr>
      <vt:lpstr>t_3105 Notice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Victor Barry</dc:creator>
  <cp:lastModifiedBy>Guesse Nathan</cp:lastModifiedBy>
  <cp:lastPrinted>2015-02-17T18:46:48Z</cp:lastPrinted>
  <dcterms:created xsi:type="dcterms:W3CDTF">2015-02-05T16:57:22Z</dcterms:created>
  <dcterms:modified xsi:type="dcterms:W3CDTF">2026-05-21T12:22:09Z</dcterms:modified>
</cp:coreProperties>
</file>